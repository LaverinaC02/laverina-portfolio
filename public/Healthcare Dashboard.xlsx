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d330d24ca2cc0e56/"/>
    </mc:Choice>
  </mc:AlternateContent>
  <xr:revisionPtr revIDLastSave="0" documentId="14_{F9473A5D-6718-487C-81CD-BCFFB6BF2FAC}" xr6:coauthVersionLast="47" xr6:coauthVersionMax="47" xr10:uidLastSave="{00000000-0000-0000-0000-000000000000}"/>
  <bookViews>
    <workbookView xWindow="-110" yWindow="-110" windowWidth="25820" windowHeight="15500" firstSheet="6" activeTab="7" xr2:uid="{CD7C0314-C8EC-4093-8DB8-92E3C96B577A}"/>
  </bookViews>
  <sheets>
    <sheet name="Transaksi" sheetId="1" r:id="rId1"/>
    <sheet name="Pasien" sheetId="3" r:id="rId2"/>
    <sheet name="Kasir" sheetId="4" r:id="rId3"/>
    <sheet name="Dokter" sheetId="7" r:id="rId4"/>
    <sheet name="Sheet3" sheetId="11" r:id="rId5"/>
    <sheet name="Sheet4" sheetId="12" r:id="rId6"/>
    <sheet name="PivotData" sheetId="8" r:id="rId7"/>
    <sheet name="Dashboard" sheetId="9" r:id="rId8"/>
  </sheets>
  <definedNames>
    <definedName name="_xlcn.WorksheetConnection_Book1Table11" hidden="1">Table1[]</definedName>
    <definedName name="_xlcn.WorksheetConnection_Book1Table21" hidden="1">Table2</definedName>
    <definedName name="_xlcn.WorksheetConnection_Book1Table31" hidden="1">Table3</definedName>
    <definedName name="_xlcn.WorksheetConnection_Book1Table41" hidden="1">Table4[]</definedName>
    <definedName name="_xlcn.WorksheetConnection_Book1Table51" hidden="1">Table5[]</definedName>
    <definedName name="_xlcn.WorksheetConnection_Book1Table61" hidden="1">Table6[]</definedName>
    <definedName name="ExternalData_1" localSheetId="4" hidden="1">Sheet3!$A$1:$H$21</definedName>
    <definedName name="ExternalData_1" localSheetId="5" hidden="1">Sheet4!$A$3:$H$23</definedName>
    <definedName name="Slicer_Jenis_Layanan">#N/A</definedName>
    <definedName name="Slicer_Waktu">#N/A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Book1!Table6"/>
          <x15:modelTable id="Table5" name="Table5" connection="WorksheetConnection_Book1!Table5"/>
          <x15:modelTable id="Table4" name="Table4" connection="WorksheetConnection_Book1!Table4"/>
          <x15:modelTable id="Table3" name="Table3" connection="WorksheetConnection_Book1!Table3"/>
          <x15:modelTable id="Table2" name="Table2" connection="WorksheetConnection_Book1!Table2"/>
          <x15:modelTable id="Table1" name="Table1" connection="WorksheetConnection_Book1!Table1"/>
        </x15:modelTables>
        <x15:modelRelationships>
          <x15:modelRelationship fromTable="Table1" fromColumn="KasirID" toTable="Table6" toColumn="KasirID"/>
          <x15:modelRelationship fromTable="Table1" fromColumn="DokterID" toTable="Table4" toColumn="DokterID"/>
          <x15:modelRelationship fromTable="Table1" fromColumn="PasienID" toTable="Table5" toColumn="Pasie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8" l="1"/>
  <c r="K19" i="8" s="1"/>
  <c r="F20" i="9" a="1"/>
  <c r="F20" i="9" s="1"/>
  <c r="B20" i="9" a="1"/>
  <c r="B20" i="9" s="1"/>
  <c r="I3" i="1"/>
  <c r="I4" i="1"/>
  <c r="I5" i="1"/>
  <c r="I6" i="1"/>
  <c r="I7" i="1"/>
  <c r="I8" i="1"/>
  <c r="I9" i="1"/>
  <c r="I10" i="1"/>
  <c r="I11" i="1"/>
  <c r="I12" i="1"/>
  <c r="I13" i="1"/>
  <c r="I14" i="1"/>
  <c r="I15" i="1"/>
  <c r="I16" i="1"/>
  <c r="I17" i="1"/>
  <c r="I18" i="1"/>
  <c r="I19" i="1"/>
  <c r="I20" i="1"/>
  <c r="I2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850A39-16E8-4FFE-9797-873FD2F7A7EB}" keepAlive="1" name="ModelConnection_ExternalData_1" description="Data Model" type="5" refreshedVersion="8" minRefreshableVersion="5" saveData="1">
    <dbPr connection="Data Model Connection" command="DRILLTHROUGH MAXROWS 1000 SELECT FROM [Model] WHERE ([Measures].[Total Pendapatan]) RETURN [$Table1].[TransaksiID],[$Table1].[PasienID],[$Table1].[DokterID],[$Table1].[Waktu],[$Table1].[KasirID],[$Table1].[Jenis_Layanan],[$Table1].[Jumlah],[$Table1].[TotalBiaya]" commandType="4"/>
    <extLst>
      <ext xmlns:x15="http://schemas.microsoft.com/office/spreadsheetml/2010/11/main" uri="{DE250136-89BD-433C-8126-D09CA5730AF9}">
        <x15:connection id="" model="1"/>
      </ext>
    </extLst>
  </connection>
  <connection id="2" xr16:uid="{6F6A9518-BB87-4DE5-92BD-F4BAA28FAE3E}" keepAlive="1" name="ModelConnection_ExternalData_11" description="Data Model" type="5" refreshedVersion="8" minRefreshableVersion="5" saveData="1">
    <dbPr connection="Data Model Connection" command="DRILLTHROUGH MAXROWS 1000 SELECT FROM [Model] WHERE ([Measures].[Total Pendapatan]) RETURN [$Table1].[TransaksiID],[$Table1].[PasienID],[$Table1].[DokterID],[$Table1].[Waktu],[$Table1].[KasirID],[$Table1].[Jenis_Layanan],[$Table1].[Jumlah],[$Table1].[TotalBiaya]" commandType="4"/>
    <extLst>
      <ext xmlns:x15="http://schemas.microsoft.com/office/spreadsheetml/2010/11/main" uri="{DE250136-89BD-433C-8126-D09CA5730AF9}">
        <x15:connection id="" model="1"/>
      </ext>
    </extLst>
  </connection>
  <connection id="3" xr16:uid="{C091C11D-A4E7-41BA-B970-248AA39E04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0627CC6-F9D1-4D81-83AA-A7408AE8D703}"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 id="5" xr16:uid="{3E789DFF-E90D-4063-960E-103CD8F2FE7E}"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 id="6" xr16:uid="{9D84FCD0-2100-4A29-8096-7A4B8814F84F}"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 id="7" xr16:uid="{882ED464-1219-4894-A44B-732BD7FBF6E4}" name="WorksheetConnection_Book1!Table4" type="102" refreshedVersion="8" minRefreshableVersion="5">
    <extLst>
      <ext xmlns:x15="http://schemas.microsoft.com/office/spreadsheetml/2010/11/main" uri="{DE250136-89BD-433C-8126-D09CA5730AF9}">
        <x15:connection id="Table4">
          <x15:rangePr sourceName="_xlcn.WorksheetConnection_Book1Table41"/>
        </x15:connection>
      </ext>
    </extLst>
  </connection>
  <connection id="8" xr16:uid="{F1606739-618B-46E2-A3B4-7DFAB9457292}" name="WorksheetConnection_Book1!Table5" type="102" refreshedVersion="8" minRefreshableVersion="5">
    <extLst>
      <ext xmlns:x15="http://schemas.microsoft.com/office/spreadsheetml/2010/11/main" uri="{DE250136-89BD-433C-8126-D09CA5730AF9}">
        <x15:connection id="Table5">
          <x15:rangePr sourceName="_xlcn.WorksheetConnection_Book1Table51"/>
        </x15:connection>
      </ext>
    </extLst>
  </connection>
  <connection id="9" xr16:uid="{F9A7E754-121C-4149-A023-80C0218FD035}" name="WorksheetConnection_Book1!Table6" type="102" refreshedVersion="8" minRefreshableVersion="5">
    <extLst>
      <ext xmlns:x15="http://schemas.microsoft.com/office/spreadsheetml/2010/11/main" uri="{DE250136-89BD-433C-8126-D09CA5730AF9}">
        <x15:connection id="Table6">
          <x15:rangePr sourceName="_xlcn.WorksheetConnection_Book1Table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<sst xmlns="http://schemas.openxmlformats.org/spreadsheetml/2006/main" count="581" uniqueCount="175">
  <si>
    <t>TransaksiID</t>
  </si>
  <si>
    <t>PasienID</t>
  </si>
  <si>
    <t>DokterID</t>
  </si>
  <si>
    <t>Waktu</t>
  </si>
  <si>
    <t>KasirID</t>
  </si>
  <si>
    <t>Jenis_Layanan</t>
  </si>
  <si>
    <t>Jumlah</t>
  </si>
  <si>
    <t>TotalBiaya</t>
  </si>
  <si>
    <t>T01</t>
  </si>
  <si>
    <t>PS01</t>
  </si>
  <si>
    <t>D01</t>
  </si>
  <si>
    <t>K01</t>
  </si>
  <si>
    <t>Rawat Jalan</t>
  </si>
  <si>
    <t>T02</t>
  </si>
  <si>
    <t>PS02</t>
  </si>
  <si>
    <t>D02</t>
  </si>
  <si>
    <t>K02</t>
  </si>
  <si>
    <t>Rawat Inap</t>
  </si>
  <si>
    <t>T03</t>
  </si>
  <si>
    <t>PS03</t>
  </si>
  <si>
    <t>D03</t>
  </si>
  <si>
    <t>K03</t>
  </si>
  <si>
    <t>Lab</t>
  </si>
  <si>
    <t>T04</t>
  </si>
  <si>
    <t>PS04</t>
  </si>
  <si>
    <t>T05</t>
  </si>
  <si>
    <t>PS05</t>
  </si>
  <si>
    <t>D04</t>
  </si>
  <si>
    <t>K04</t>
  </si>
  <si>
    <t>Obat</t>
  </si>
  <si>
    <t>T06</t>
  </si>
  <si>
    <t>PS06</t>
  </si>
  <si>
    <t>T07</t>
  </si>
  <si>
    <t>PS07</t>
  </si>
  <si>
    <t>T08</t>
  </si>
  <si>
    <t>PS08</t>
  </si>
  <si>
    <t>D05</t>
  </si>
  <si>
    <t>K05</t>
  </si>
  <si>
    <t>T09</t>
  </si>
  <si>
    <t>PS09</t>
  </si>
  <si>
    <t>T10</t>
  </si>
  <si>
    <t>PS10</t>
  </si>
  <si>
    <t>T11</t>
  </si>
  <si>
    <t>PS11</t>
  </si>
  <si>
    <t>T12</t>
  </si>
  <si>
    <t>PS12</t>
  </si>
  <si>
    <t>T13</t>
  </si>
  <si>
    <t>PS13</t>
  </si>
  <si>
    <t>13/01/2024</t>
  </si>
  <si>
    <t>T14</t>
  </si>
  <si>
    <t>PS14</t>
  </si>
  <si>
    <t>14/01/2024</t>
  </si>
  <si>
    <t>T15</t>
  </si>
  <si>
    <t>PS15</t>
  </si>
  <si>
    <t>15/01/2024</t>
  </si>
  <si>
    <t>T16</t>
  </si>
  <si>
    <t>PS16</t>
  </si>
  <si>
    <t>16/01/2024</t>
  </si>
  <si>
    <t>T17</t>
  </si>
  <si>
    <t>PS17</t>
  </si>
  <si>
    <t>17/01/2024</t>
  </si>
  <si>
    <t>T18</t>
  </si>
  <si>
    <t>PS18</t>
  </si>
  <si>
    <t>18/01/2024</t>
  </si>
  <si>
    <t>T19</t>
  </si>
  <si>
    <t>PS19</t>
  </si>
  <si>
    <t>19/01/2024</t>
  </si>
  <si>
    <t>T20</t>
  </si>
  <si>
    <t>PS20</t>
  </si>
  <si>
    <t>20/01/2024</t>
  </si>
  <si>
    <t>Nama_Dokter</t>
  </si>
  <si>
    <t>Spesialis</t>
  </si>
  <si>
    <t>Nama_Pasien</t>
  </si>
  <si>
    <t>Jenis_Kelamin</t>
  </si>
  <si>
    <t>Umur</t>
  </si>
  <si>
    <t>Ahmad</t>
  </si>
  <si>
    <t>L</t>
  </si>
  <si>
    <t>Budi</t>
  </si>
  <si>
    <t>Citra</t>
  </si>
  <si>
    <t>P</t>
  </si>
  <si>
    <t>Dina</t>
  </si>
  <si>
    <t>Eko</t>
  </si>
  <si>
    <t>Fajar</t>
  </si>
  <si>
    <t>Gina</t>
  </si>
  <si>
    <t>Hadi</t>
  </si>
  <si>
    <t>Intan</t>
  </si>
  <si>
    <t>Joko</t>
  </si>
  <si>
    <t>Kiki</t>
  </si>
  <si>
    <t>Lina</t>
  </si>
  <si>
    <t>Maman</t>
  </si>
  <si>
    <t>Nina</t>
  </si>
  <si>
    <t>Oki</t>
  </si>
  <si>
    <t>Putri</t>
  </si>
  <si>
    <t>Rian</t>
  </si>
  <si>
    <t>Sari</t>
  </si>
  <si>
    <t>Tono</t>
  </si>
  <si>
    <t>Uli</t>
  </si>
  <si>
    <t>Nama_Kasir</t>
  </si>
  <si>
    <t>Siti</t>
  </si>
  <si>
    <t>Rina</t>
  </si>
  <si>
    <t>Dewi</t>
  </si>
  <si>
    <t>Agus</t>
  </si>
  <si>
    <t>Rudi</t>
  </si>
  <si>
    <t>Dr. Andi</t>
  </si>
  <si>
    <t>Umum</t>
  </si>
  <si>
    <t>Dr. Budi</t>
  </si>
  <si>
    <t>Penyakit Dalam</t>
  </si>
  <si>
    <t>Dr. Cindy</t>
  </si>
  <si>
    <t>Laboratorium</t>
  </si>
  <si>
    <t>Dr. Dedi</t>
  </si>
  <si>
    <t>Bedah</t>
  </si>
  <si>
    <t>Dr. Eka</t>
  </si>
  <si>
    <t>Anak</t>
  </si>
  <si>
    <t>D06</t>
  </si>
  <si>
    <t>Dr. Fajar</t>
  </si>
  <si>
    <t>Jantung</t>
  </si>
  <si>
    <t>D07</t>
  </si>
  <si>
    <t>Dr. Gina</t>
  </si>
  <si>
    <t>Saraf</t>
  </si>
  <si>
    <t>D08</t>
  </si>
  <si>
    <t>Dr. Hadi</t>
  </si>
  <si>
    <t>THT</t>
  </si>
  <si>
    <t>D09</t>
  </si>
  <si>
    <t>Dr. Intan</t>
  </si>
  <si>
    <t>Kulit</t>
  </si>
  <si>
    <t>D10</t>
  </si>
  <si>
    <t>Dr. Joko</t>
  </si>
  <si>
    <t>Mata</t>
  </si>
  <si>
    <t>Total Pendapatan</t>
  </si>
  <si>
    <t>Total Pasien</t>
  </si>
  <si>
    <t>Avg Biaya</t>
  </si>
  <si>
    <t>Pendapatan Rawat Inap</t>
  </si>
  <si>
    <t>Pendapatan per Dokter</t>
  </si>
  <si>
    <t xml:space="preserve"> </t>
  </si>
  <si>
    <t>Row Labels</t>
  </si>
  <si>
    <t>Grand Total</t>
  </si>
  <si>
    <t>Sum of TotalBiaya</t>
  </si>
  <si>
    <t>Table1[TransaksiID]</t>
  </si>
  <si>
    <t>Table1[PasienID]</t>
  </si>
  <si>
    <t>Table1[DokterID]</t>
  </si>
  <si>
    <t>Table1[Waktu]</t>
  </si>
  <si>
    <t>Table1[KasirID]</t>
  </si>
  <si>
    <t>Table1[Jenis_Layanan]</t>
  </si>
  <si>
    <t>Table1[Jumlah]</t>
  </si>
  <si>
    <t>Table1[TotalBiaya]</t>
  </si>
  <si>
    <t>1/1/2024</t>
  </si>
  <si>
    <t>2/1/2024</t>
  </si>
  <si>
    <t>3/1/2024</t>
  </si>
  <si>
    <t>4/1/2024</t>
  </si>
  <si>
    <t>5/1/2024</t>
  </si>
  <si>
    <t>6/1/2024</t>
  </si>
  <si>
    <t>7/1/2024</t>
  </si>
  <si>
    <t>8/1/2024</t>
  </si>
  <si>
    <t>9/1/2024</t>
  </si>
  <si>
    <t>10/1/2024</t>
  </si>
  <si>
    <t>11/1/2024</t>
  </si>
  <si>
    <t>12/1/2024</t>
  </si>
  <si>
    <t>Data returned for Total Pendapatan (First 1000 rows).</t>
  </si>
  <si>
    <t>TOTAL REVENUE</t>
  </si>
  <si>
    <t>TOTAL PATIENTS</t>
  </si>
  <si>
    <t>AVERAGE TREATMENT COST</t>
  </si>
  <si>
    <t>Sum of Jumlah</t>
  </si>
  <si>
    <t>Revenue</t>
  </si>
  <si>
    <t>Sum of Revenue</t>
  </si>
  <si>
    <t>Date</t>
  </si>
  <si>
    <t>Total Cost</t>
  </si>
  <si>
    <t>Revenue%</t>
  </si>
  <si>
    <t>Service Type</t>
  </si>
  <si>
    <t>Status</t>
  </si>
  <si>
    <t>Remainder</t>
  </si>
  <si>
    <t>Actual Revenue</t>
  </si>
  <si>
    <t>Target</t>
  </si>
  <si>
    <t>TOP DOCTOR</t>
  </si>
  <si>
    <t>HIGHEST-DEMAND SERVICE</t>
  </si>
  <si>
    <t>DAILY PATIENT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</si>
</sst>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pivotButton="1"/>
    <xf numFmtId="0" fontId="0" fillId="0" borderId="0" xfId="0" applyAlignment="1">
      <alignment horizontal="left"/>
    </xf>
    <xf numFmtId="0" fontId="2" fillId="0" borderId="0" xfId="0" applyFont="1"/>
    <xf numFmtId="2" fontId="0" fillId="0" borderId="0" xfId="0" applyNumberFormat="1"/>
    <xf numFmtId="10" fontId="0" fillId="0" borderId="0" xfId="1" applyNumberFormat="1" applyFont="1"/>
    <xf numFmtId="10" fontId="0" fillId="0" borderId="0" xfId="0" applyNumberFormat="1"/>
    <xf numFmtId="0" fontId="0" fillId="0" borderId="5" xfId="1" applyNumberFormat="1" applyFont="1" applyBorder="1"/>
    <xf numFmtId="0" fontId="0" fillId="0" borderId="8" xfId="1" applyNumberFormat="1" applyFont="1" applyBorder="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10" fontId="0" fillId="0" borderId="0" xfId="1" applyNumberFormat="1" applyFont="1" applyBorder="1"/>
    <xf numFmtId="10" fontId="0" fillId="0" borderId="7" xfId="1" applyNumberFormat="1" applyFont="1" applyBorder="1"/>
    <xf numFmtId="10" fontId="0" fillId="0" borderId="5" xfId="0" applyNumberFormat="1" applyBorder="1" applyAlignment="1">
      <alignment horizontal="center"/>
    </xf>
    <xf numFmtId="10" fontId="0" fillId="0" borderId="8" xfId="0" applyNumberFormat="1" applyBorder="1" applyAlignment="1">
      <alignment horizontal="center"/>
    </xf>
    <xf numFmtId="14" fontId="0" fillId="0" borderId="0" xfId="0" applyNumberFormat="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2" fillId="0" borderId="7" xfId="0" applyFont="1" applyBorder="1" applyAlignment="1">
      <alignment horizontal="center"/>
    </xf>
    <xf numFmtId="2" fontId="2" fillId="0" borderId="7" xfId="0" applyNumberFormat="1" applyFont="1" applyBorder="1" applyAlignment="1">
      <alignment horizontal="center"/>
    </xf>
    <xf numFmtId="0" fontId="2" fillId="0" borderId="0" xfId="0" applyFont="1" applyAlignment="1">
      <alignment horizontal="center"/>
    </xf>
  </cellXfs>
  <cellStyles count="2">
    <cellStyle name="Normal" xfId="0" builtinId="0"/>
    <cellStyle name="Percent" xfId="1" builtinId="5"/>
  </cellStyles>
  <dxfs count="9">
    <dxf>
      <numFmt numFmtId="2" formatCode="0.00"/>
    </dxf>
    <dxf>
      <numFmt numFmtId="19" formatCode="m/d/yyyy"/>
    </dxf>
    <dxf>
      <numFmt numFmtId="2" formatCode="0.00"/>
    </dxf>
    <dxf>
      <numFmt numFmtId="2" formatCode="0.00"/>
    </dxf>
    <dxf>
      <numFmt numFmtId="2" formatCode="0.00"/>
    </dxf>
    <dxf>
      <numFmt numFmtId="19" formatCode="m/d/yyyy"/>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a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PivotData!$B$18</c:f>
              <c:strCache>
                <c:ptCount val="1"/>
                <c:pt idx="0">
                  <c:v>Total</c:v>
                </c:pt>
              </c:strCache>
            </c:strRef>
          </c:tx>
          <c:spPr>
            <a:solidFill>
              <a:schemeClr val="accent1"/>
            </a:solidFill>
            <a:ln w="25400">
              <a:noFill/>
            </a:ln>
            <a:effectLst/>
          </c:spPr>
          <c:cat>
            <c:strRef>
              <c:f>PivotData!$A$19:$A$39</c:f>
              <c:strCache>
                <c:ptCount val="20"/>
                <c:pt idx="0">
                  <c:v>1/1/2024</c:v>
                </c:pt>
                <c:pt idx="1">
                  <c:v>10/1/2024</c:v>
                </c:pt>
                <c:pt idx="2">
                  <c:v>11/1/2024</c:v>
                </c:pt>
                <c:pt idx="3">
                  <c:v>12/1/2024</c:v>
                </c:pt>
                <c:pt idx="4">
                  <c:v>13/01/2024</c:v>
                </c:pt>
                <c:pt idx="5">
                  <c:v>14/01/2024</c:v>
                </c:pt>
                <c:pt idx="6">
                  <c:v>15/01/2024</c:v>
                </c:pt>
                <c:pt idx="7">
                  <c:v>16/01/2024</c:v>
                </c:pt>
                <c:pt idx="8">
                  <c:v>17/01/2024</c:v>
                </c:pt>
                <c:pt idx="9">
                  <c:v>18/01/2024</c:v>
                </c:pt>
                <c:pt idx="10">
                  <c:v>19/01/2024</c:v>
                </c:pt>
                <c:pt idx="11">
                  <c:v>2/1/2024</c:v>
                </c:pt>
                <c:pt idx="12">
                  <c:v>20/01/2024</c:v>
                </c:pt>
                <c:pt idx="13">
                  <c:v>3/1/2024</c:v>
                </c:pt>
                <c:pt idx="14">
                  <c:v>4/1/2024</c:v>
                </c:pt>
                <c:pt idx="15">
                  <c:v>5/1/2024</c:v>
                </c:pt>
                <c:pt idx="16">
                  <c:v>6/1/2024</c:v>
                </c:pt>
                <c:pt idx="17">
                  <c:v>7/1/2024</c:v>
                </c:pt>
                <c:pt idx="18">
                  <c:v>8/1/2024</c:v>
                </c:pt>
                <c:pt idx="19">
                  <c:v>9/1/2024</c:v>
                </c:pt>
              </c:strCache>
            </c:strRef>
          </c:cat>
          <c:val>
            <c:numRef>
              <c:f>PivotData!$B$19:$B$39</c:f>
              <c:numCache>
                <c:formatCode>General</c:formatCode>
                <c:ptCount val="20"/>
                <c:pt idx="0">
                  <c:v>150000</c:v>
                </c:pt>
                <c:pt idx="1">
                  <c:v>160000</c:v>
                </c:pt>
                <c:pt idx="2">
                  <c:v>1200000</c:v>
                </c:pt>
                <c:pt idx="3">
                  <c:v>300000</c:v>
                </c:pt>
                <c:pt idx="4">
                  <c:v>100000</c:v>
                </c:pt>
                <c:pt idx="5">
                  <c:v>150000</c:v>
                </c:pt>
                <c:pt idx="6">
                  <c:v>700000</c:v>
                </c:pt>
                <c:pt idx="7">
                  <c:v>170000</c:v>
                </c:pt>
                <c:pt idx="8">
                  <c:v>250000</c:v>
                </c:pt>
                <c:pt idx="9">
                  <c:v>130000</c:v>
                </c:pt>
                <c:pt idx="10">
                  <c:v>150000</c:v>
                </c:pt>
                <c:pt idx="11">
                  <c:v>900000</c:v>
                </c:pt>
                <c:pt idx="12">
                  <c:v>900000</c:v>
                </c:pt>
                <c:pt idx="13">
                  <c:v>250000</c:v>
                </c:pt>
                <c:pt idx="14">
                  <c:v>150000</c:v>
                </c:pt>
                <c:pt idx="15">
                  <c:v>120000</c:v>
                </c:pt>
                <c:pt idx="16">
                  <c:v>600000</c:v>
                </c:pt>
                <c:pt idx="17">
                  <c:v>200000</c:v>
                </c:pt>
                <c:pt idx="18">
                  <c:v>180000</c:v>
                </c:pt>
                <c:pt idx="19">
                  <c:v>210000</c:v>
                </c:pt>
              </c:numCache>
            </c:numRef>
          </c:val>
          <c:extLst>
            <c:ext xmlns:c16="http://schemas.microsoft.com/office/drawing/2014/chart" uri="{C3380CC4-5D6E-409C-BE32-E72D297353CC}">
              <c16:uniqueId val="{00000002-4AD5-4B6B-9D35-FC1323D34A1E}"/>
            </c:ext>
          </c:extLst>
        </c:ser>
        <c:dLbls>
          <c:showLegendKey val="0"/>
          <c:showVal val="0"/>
          <c:showCatName val="0"/>
          <c:showSerName val="0"/>
          <c:showPercent val="0"/>
          <c:showBubbleSize val="0"/>
        </c:dLbls>
        <c:axId val="1405819343"/>
        <c:axId val="1405802543"/>
      </c:areaChart>
      <c:catAx>
        <c:axId val="140581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02543"/>
        <c:crosses val="autoZero"/>
        <c:auto val="1"/>
        <c:lblAlgn val="ctr"/>
        <c:lblOffset val="100"/>
        <c:noMultiLvlLbl val="0"/>
      </c:catAx>
      <c:valAx>
        <c:axId val="140580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819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21-4883-9790-36F20BFF84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21-4883-9790-36F20BFF847C}"/>
              </c:ext>
            </c:extLst>
          </c:dPt>
          <c:val>
            <c:numRef>
              <c:f>PivotData!$K$18:$K$19</c:f>
              <c:numCache>
                <c:formatCode>0.00</c:formatCode>
                <c:ptCount val="2"/>
                <c:pt idx="0">
                  <c:v>6970000</c:v>
                </c:pt>
                <c:pt idx="1">
                  <c:v>1030000</c:v>
                </c:pt>
              </c:numCache>
            </c:numRef>
          </c:val>
          <c:extLst>
            <c:ext xmlns:c16="http://schemas.microsoft.com/office/drawing/2014/chart" uri="{C3380CC4-5D6E-409C-BE32-E72D297353CC}">
              <c16:uniqueId val="{00000001-8C80-448B-A2E1-9B5258ECD14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560779</xdr:colOff>
      <xdr:row>9</xdr:row>
      <xdr:rowOff>164935</xdr:rowOff>
    </xdr:from>
    <xdr:to>
      <xdr:col>4</xdr:col>
      <xdr:colOff>49480</xdr:colOff>
      <xdr:row>13</xdr:row>
      <xdr:rowOff>44173</xdr:rowOff>
    </xdr:to>
    <xdr:sp macro="" textlink="PivotData!A2">
      <xdr:nvSpPr>
        <xdr:cNvPr id="2" name="Rectangle: Rounded Corners 1">
          <a:extLst>
            <a:ext uri="{FF2B5EF4-FFF2-40B4-BE49-F238E27FC236}">
              <a16:creationId xmlns:a16="http://schemas.microsoft.com/office/drawing/2014/main" id="{C51C9D21-90B8-4CB8-6085-26E910A4E190}"/>
            </a:ext>
          </a:extLst>
        </xdr:cNvPr>
        <xdr:cNvSpPr/>
      </xdr:nvSpPr>
      <xdr:spPr>
        <a:xfrm>
          <a:off x="560779" y="164935"/>
          <a:ext cx="2474026" cy="604952"/>
        </a:xfrm>
        <a:prstGeom prst="round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7C5EF1-9C9B-4FF5-A3C8-B941358782F4}" type="TxLink">
            <a:rPr lang="en-US" sz="2400" b="1" i="0" u="none" strike="noStrike">
              <a:solidFill>
                <a:schemeClr val="bg1"/>
              </a:solidFill>
              <a:latin typeface="Calibri"/>
              <a:ea typeface="Calibri"/>
              <a:cs typeface="Calibri"/>
            </a:rPr>
            <a:pPr algn="ctr"/>
            <a:t>6970000.00</a:t>
          </a:fld>
          <a:endParaRPr lang="en-US" sz="2400" b="1">
            <a:solidFill>
              <a:schemeClr val="bg1"/>
            </a:solidFill>
          </a:endParaRPr>
        </a:p>
      </xdr:txBody>
    </xdr:sp>
    <xdr:clientData/>
  </xdr:twoCellAnchor>
  <xdr:twoCellAnchor>
    <xdr:from>
      <xdr:col>4</xdr:col>
      <xdr:colOff>585519</xdr:colOff>
      <xdr:row>9</xdr:row>
      <xdr:rowOff>164935</xdr:rowOff>
    </xdr:from>
    <xdr:to>
      <xdr:col>8</xdr:col>
      <xdr:colOff>32987</xdr:colOff>
      <xdr:row>13</xdr:row>
      <xdr:rowOff>47486</xdr:rowOff>
    </xdr:to>
    <xdr:sp macro="" textlink="PivotData!A6">
      <xdr:nvSpPr>
        <xdr:cNvPr id="4" name="Rectangle: Rounded Corners 3">
          <a:extLst>
            <a:ext uri="{FF2B5EF4-FFF2-40B4-BE49-F238E27FC236}">
              <a16:creationId xmlns:a16="http://schemas.microsoft.com/office/drawing/2014/main" id="{0D18C4E9-8692-9F8E-3BA1-EA96C3930A06}"/>
            </a:ext>
          </a:extLst>
        </xdr:cNvPr>
        <xdr:cNvSpPr/>
      </xdr:nvSpPr>
      <xdr:spPr>
        <a:xfrm>
          <a:off x="3570844" y="164935"/>
          <a:ext cx="1962727" cy="608265"/>
        </a:xfrm>
        <a:prstGeom prst="round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7B54E8-AF2E-42B8-BEB9-34130DB2F0C3}" type="TxLink">
            <a:rPr lang="en-US" sz="2400" b="1" i="0" u="none" strike="noStrike">
              <a:solidFill>
                <a:schemeClr val="bg1"/>
              </a:solidFill>
              <a:latin typeface="Calibri"/>
              <a:ea typeface="Calibri"/>
              <a:cs typeface="Calibri"/>
            </a:rPr>
            <a:pPr algn="ctr"/>
            <a:t>20</a:t>
          </a:fld>
          <a:endParaRPr lang="en-US" sz="2400" b="1">
            <a:solidFill>
              <a:schemeClr val="bg1"/>
            </a:solidFill>
          </a:endParaRPr>
        </a:p>
      </xdr:txBody>
    </xdr:sp>
    <xdr:clientData/>
  </xdr:twoCellAnchor>
  <xdr:twoCellAnchor>
    <xdr:from>
      <xdr:col>8</xdr:col>
      <xdr:colOff>552533</xdr:colOff>
      <xdr:row>9</xdr:row>
      <xdr:rowOff>164935</xdr:rowOff>
    </xdr:from>
    <xdr:to>
      <xdr:col>12</xdr:col>
      <xdr:colOff>41234</xdr:colOff>
      <xdr:row>13</xdr:row>
      <xdr:rowOff>50799</xdr:rowOff>
    </xdr:to>
    <xdr:sp macro="" textlink="PivotData!A9">
      <xdr:nvSpPr>
        <xdr:cNvPr id="5" name="Rectangle: Rounded Corners 4">
          <a:extLst>
            <a:ext uri="{FF2B5EF4-FFF2-40B4-BE49-F238E27FC236}">
              <a16:creationId xmlns:a16="http://schemas.microsoft.com/office/drawing/2014/main" id="{0AD1D2AD-EBCE-69BC-A183-0452D9220F9E}"/>
            </a:ext>
          </a:extLst>
        </xdr:cNvPr>
        <xdr:cNvSpPr/>
      </xdr:nvSpPr>
      <xdr:spPr>
        <a:xfrm>
          <a:off x="6053117" y="164935"/>
          <a:ext cx="1929740" cy="611578"/>
        </a:xfrm>
        <a:prstGeom prst="round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F6A8FA-68AB-4479-A6C2-1F16E26BEEE6}" type="TxLink">
            <a:rPr lang="en-US" sz="2400" b="1" i="0" u="none" strike="noStrike">
              <a:solidFill>
                <a:schemeClr val="bg1"/>
              </a:solidFill>
              <a:latin typeface="Calibri"/>
              <a:ea typeface="Calibri"/>
              <a:cs typeface="Calibri"/>
            </a:rPr>
            <a:pPr algn="ctr"/>
            <a:t>348500.00</a:t>
          </a:fld>
          <a:endParaRPr lang="en-US" sz="2400" b="1">
            <a:solidFill>
              <a:schemeClr val="bg1"/>
            </a:solidFill>
          </a:endParaRPr>
        </a:p>
      </xdr:txBody>
    </xdr:sp>
    <xdr:clientData/>
  </xdr:twoCellAnchor>
  <xdr:twoCellAnchor>
    <xdr:from>
      <xdr:col>16</xdr:col>
      <xdr:colOff>552533</xdr:colOff>
      <xdr:row>9</xdr:row>
      <xdr:rowOff>164935</xdr:rowOff>
    </xdr:from>
    <xdr:to>
      <xdr:col>20</xdr:col>
      <xdr:colOff>57728</xdr:colOff>
      <xdr:row>13</xdr:row>
      <xdr:rowOff>57425</xdr:rowOff>
    </xdr:to>
    <xdr:sp macro="" textlink="PivotData!A42">
      <xdr:nvSpPr>
        <xdr:cNvPr id="7" name="Rectangle: Rounded Corners 6">
          <a:extLst>
            <a:ext uri="{FF2B5EF4-FFF2-40B4-BE49-F238E27FC236}">
              <a16:creationId xmlns:a16="http://schemas.microsoft.com/office/drawing/2014/main" id="{7C369D9A-C151-4623-251D-55809C8134D7}"/>
            </a:ext>
          </a:extLst>
        </xdr:cNvPr>
        <xdr:cNvSpPr/>
      </xdr:nvSpPr>
      <xdr:spPr>
        <a:xfrm>
          <a:off x="10935195" y="164935"/>
          <a:ext cx="1946234" cy="618204"/>
        </a:xfrm>
        <a:prstGeom prst="round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E1B092-C7BC-48EB-8F34-F145191D8F7F}" type="TxLink">
            <a:rPr lang="en-US" sz="2400" b="1" i="0" u="none" strike="noStrike">
              <a:solidFill>
                <a:schemeClr val="bg1"/>
              </a:solidFill>
              <a:latin typeface="Calibri"/>
              <a:ea typeface="Calibri"/>
              <a:cs typeface="Calibri"/>
            </a:rPr>
            <a:pPr algn="ctr"/>
            <a:t>Dr. Budi</a:t>
          </a:fld>
          <a:endParaRPr lang="en-US" sz="2400" b="1">
            <a:solidFill>
              <a:schemeClr val="bg1"/>
            </a:solidFill>
          </a:endParaRPr>
        </a:p>
      </xdr:txBody>
    </xdr:sp>
    <xdr:clientData/>
  </xdr:twoCellAnchor>
  <xdr:twoCellAnchor>
    <xdr:from>
      <xdr:col>8</xdr:col>
      <xdr:colOff>590826</xdr:colOff>
      <xdr:row>17</xdr:row>
      <xdr:rowOff>168965</xdr:rowOff>
    </xdr:from>
    <xdr:to>
      <xdr:col>16</xdr:col>
      <xdr:colOff>5522</xdr:colOff>
      <xdr:row>39</xdr:row>
      <xdr:rowOff>11044</xdr:rowOff>
    </xdr:to>
    <xdr:graphicFrame macro="">
      <xdr:nvGraphicFramePr>
        <xdr:cNvPr id="8" name="Chart 7">
          <a:extLst>
            <a:ext uri="{FF2B5EF4-FFF2-40B4-BE49-F238E27FC236}">
              <a16:creationId xmlns:a16="http://schemas.microsoft.com/office/drawing/2014/main" id="{5140695A-204E-306A-BF5D-AD0273CD6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593767</xdr:colOff>
      <xdr:row>26</xdr:row>
      <xdr:rowOff>156688</xdr:rowOff>
    </xdr:from>
    <xdr:to>
      <xdr:col>20</xdr:col>
      <xdr:colOff>32988</xdr:colOff>
      <xdr:row>39</xdr:row>
      <xdr:rowOff>32987</xdr:rowOff>
    </xdr:to>
    <xdr:graphicFrame macro="">
      <xdr:nvGraphicFramePr>
        <xdr:cNvPr id="10" name="Chart 9">
          <a:extLst>
            <a:ext uri="{FF2B5EF4-FFF2-40B4-BE49-F238E27FC236}">
              <a16:creationId xmlns:a16="http://schemas.microsoft.com/office/drawing/2014/main" id="{716D8996-2203-37ED-42C9-18ABD50EE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627530</xdr:colOff>
      <xdr:row>32</xdr:row>
      <xdr:rowOff>22218</xdr:rowOff>
    </xdr:from>
    <xdr:to>
      <xdr:col>19</xdr:col>
      <xdr:colOff>264673</xdr:colOff>
      <xdr:row>34</xdr:row>
      <xdr:rowOff>38711</xdr:rowOff>
    </xdr:to>
    <xdr:sp macro="" textlink="PivotData!K18">
      <xdr:nvSpPr>
        <xdr:cNvPr id="11" name="TextBox 10">
          <a:extLst>
            <a:ext uri="{FF2B5EF4-FFF2-40B4-BE49-F238E27FC236}">
              <a16:creationId xmlns:a16="http://schemas.microsoft.com/office/drawing/2014/main" id="{30D4B5C9-8F58-CB61-F059-DFB64B0F70CF}"/>
            </a:ext>
          </a:extLst>
        </xdr:cNvPr>
        <xdr:cNvSpPr txBox="1"/>
      </xdr:nvSpPr>
      <xdr:spPr>
        <a:xfrm>
          <a:off x="11646648" y="4474689"/>
          <a:ext cx="1086437" cy="390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EEFE2C-8E0D-4BDF-8BAF-BC74D2C1338E}" type="TxLink">
            <a:rPr lang="en-US" sz="1400" b="0" i="0" u="none" strike="noStrike">
              <a:solidFill>
                <a:srgbClr val="000000"/>
              </a:solidFill>
              <a:latin typeface="Calibri"/>
              <a:ea typeface="Calibri"/>
              <a:cs typeface="Calibri"/>
            </a:rPr>
            <a:pPr algn="ctr"/>
            <a:t>6970000.00</a:t>
          </a:fld>
          <a:endParaRPr lang="en-US" sz="1400"/>
        </a:p>
      </xdr:txBody>
    </xdr:sp>
    <xdr:clientData/>
  </xdr:twoCellAnchor>
  <xdr:twoCellAnchor>
    <xdr:from>
      <xdr:col>16</xdr:col>
      <xdr:colOff>556491</xdr:colOff>
      <xdr:row>17</xdr:row>
      <xdr:rowOff>82467</xdr:rowOff>
    </xdr:from>
    <xdr:to>
      <xdr:col>20</xdr:col>
      <xdr:colOff>61686</xdr:colOff>
      <xdr:row>24</xdr:row>
      <xdr:rowOff>115453</xdr:rowOff>
    </xdr:to>
    <xdr:sp macro="" textlink="PivotData!D42">
      <xdr:nvSpPr>
        <xdr:cNvPr id="12" name="Rectangle: Rounded Corners 11">
          <a:extLst>
            <a:ext uri="{FF2B5EF4-FFF2-40B4-BE49-F238E27FC236}">
              <a16:creationId xmlns:a16="http://schemas.microsoft.com/office/drawing/2014/main" id="{F5305CAF-13D4-EFF3-1F04-E59308864C3D}"/>
            </a:ext>
          </a:extLst>
        </xdr:cNvPr>
        <xdr:cNvSpPr/>
      </xdr:nvSpPr>
      <xdr:spPr>
        <a:xfrm>
          <a:off x="10939153" y="1533896"/>
          <a:ext cx="2441039" cy="1467921"/>
        </a:xfrm>
        <a:prstGeom prst="roundRect">
          <a:avLst/>
        </a:prstGeom>
        <a:solidFill>
          <a:schemeClr val="accent1">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3AB1A5-217F-490B-872B-0FDB05155AB6}" type="TxLink">
            <a:rPr lang="en-US" sz="2400" b="1" i="0" u="none" strike="noStrike">
              <a:solidFill>
                <a:schemeClr val="bg1"/>
              </a:solidFill>
              <a:latin typeface="Calibri"/>
              <a:ea typeface="Calibri"/>
              <a:cs typeface="Calibri"/>
            </a:rPr>
            <a:pPr algn="ctr"/>
            <a:t>Rawat Inap</a:t>
          </a:fld>
          <a:endParaRPr lang="en-US" sz="2400" b="1">
            <a:solidFill>
              <a:schemeClr val="bg1"/>
            </a:solidFill>
          </a:endParaRPr>
        </a:p>
      </xdr:txBody>
    </xdr:sp>
    <xdr:clientData/>
  </xdr:twoCellAnchor>
  <xdr:twoCellAnchor editAs="oneCell">
    <xdr:from>
      <xdr:col>1</xdr:col>
      <xdr:colOff>15585</xdr:colOff>
      <xdr:row>41</xdr:row>
      <xdr:rowOff>2887</xdr:rowOff>
    </xdr:from>
    <xdr:to>
      <xdr:col>7</xdr:col>
      <xdr:colOff>600363</xdr:colOff>
      <xdr:row>45</xdr:row>
      <xdr:rowOff>173182</xdr:rowOff>
    </xdr:to>
    <mc:AlternateContent xmlns:mc="http://schemas.openxmlformats.org/markup-compatibility/2006" xmlns:a14="http://schemas.microsoft.com/office/drawing/2010/main">
      <mc:Choice Requires="a14">
        <xdr:graphicFrame macro="">
          <xdr:nvGraphicFramePr>
            <xdr:cNvPr id="13" name="Waktu">
              <a:extLst>
                <a:ext uri="{FF2B5EF4-FFF2-40B4-BE49-F238E27FC236}">
                  <a16:creationId xmlns:a16="http://schemas.microsoft.com/office/drawing/2014/main" id="{6FB91D68-1F13-7789-4274-29E2622EE7E5}"/>
                </a:ext>
              </a:extLst>
            </xdr:cNvPr>
            <xdr:cNvGraphicFramePr/>
          </xdr:nvGraphicFramePr>
          <xdr:xfrm>
            <a:off x="0" y="0"/>
            <a:ext cx="0" cy="0"/>
          </xdr:xfrm>
          <a:graphic>
            <a:graphicData uri="http://schemas.microsoft.com/office/drawing/2010/slicer">
              <sle:slicer xmlns:sle="http://schemas.microsoft.com/office/drawing/2010/slicer" name="Waktu"/>
            </a:graphicData>
          </a:graphic>
        </xdr:graphicFrame>
      </mc:Choice>
      <mc:Fallback xmlns="">
        <xdr:sp macro="" textlink="">
          <xdr:nvSpPr>
            <xdr:cNvPr id="0" name=""/>
            <xdr:cNvSpPr>
              <a:spLocks noTextEdit="1"/>
            </xdr:cNvSpPr>
          </xdr:nvSpPr>
          <xdr:spPr>
            <a:xfrm>
              <a:off x="628173" y="6136240"/>
              <a:ext cx="4865425" cy="917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18472</xdr:colOff>
      <xdr:row>41</xdr:row>
      <xdr:rowOff>28865</xdr:rowOff>
    </xdr:from>
    <xdr:to>
      <xdr:col>15</xdr:col>
      <xdr:colOff>588819</xdr:colOff>
      <xdr:row>45</xdr:row>
      <xdr:rowOff>161638</xdr:rowOff>
    </xdr:to>
    <mc:AlternateContent xmlns:mc="http://schemas.openxmlformats.org/markup-compatibility/2006" xmlns:a14="http://schemas.microsoft.com/office/drawing/2010/main">
      <mc:Choice Requires="a14">
        <xdr:graphicFrame macro="">
          <xdr:nvGraphicFramePr>
            <xdr:cNvPr id="14" name="Jenis_Layanan">
              <a:extLst>
                <a:ext uri="{FF2B5EF4-FFF2-40B4-BE49-F238E27FC236}">
                  <a16:creationId xmlns:a16="http://schemas.microsoft.com/office/drawing/2014/main" id="{C07D9AF7-51BF-F6DA-59AC-A3699B5D9C57}"/>
                </a:ext>
              </a:extLst>
            </xdr:cNvPr>
            <xdr:cNvGraphicFramePr/>
          </xdr:nvGraphicFramePr>
          <xdr:xfrm>
            <a:off x="0" y="0"/>
            <a:ext cx="0" cy="0"/>
          </xdr:xfrm>
          <a:graphic>
            <a:graphicData uri="http://schemas.microsoft.com/office/drawing/2010/slicer">
              <sle:slicer xmlns:sle="http://schemas.microsoft.com/office/drawing/2010/slicer" name="Jenis_Layanan"/>
            </a:graphicData>
          </a:graphic>
        </xdr:graphicFrame>
      </mc:Choice>
      <mc:Fallback xmlns="">
        <xdr:sp macro="" textlink="">
          <xdr:nvSpPr>
            <xdr:cNvPr id="0" name=""/>
            <xdr:cNvSpPr>
              <a:spLocks noTextEdit="1"/>
            </xdr:cNvSpPr>
          </xdr:nvSpPr>
          <xdr:spPr>
            <a:xfrm>
              <a:off x="6136884" y="6162218"/>
              <a:ext cx="4245876" cy="879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575235</xdr:colOff>
      <xdr:row>0</xdr:row>
      <xdr:rowOff>29883</xdr:rowOff>
    </xdr:from>
    <xdr:to>
      <xdr:col>20</xdr:col>
      <xdr:colOff>82175</xdr:colOff>
      <xdr:row>8</xdr:row>
      <xdr:rowOff>104589</xdr:rowOff>
    </xdr:to>
    <xdr:sp macro="" textlink="">
      <xdr:nvSpPr>
        <xdr:cNvPr id="3" name="Rectangle 2">
          <a:extLst>
            <a:ext uri="{FF2B5EF4-FFF2-40B4-BE49-F238E27FC236}">
              <a16:creationId xmlns:a16="http://schemas.microsoft.com/office/drawing/2014/main" id="{CA4E5141-6AE6-51ED-8B86-E5E370B5C85D}"/>
            </a:ext>
          </a:extLst>
        </xdr:cNvPr>
        <xdr:cNvSpPr/>
      </xdr:nvSpPr>
      <xdr:spPr>
        <a:xfrm>
          <a:off x="575235" y="29883"/>
          <a:ext cx="12849411" cy="156882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403409</xdr:colOff>
      <xdr:row>0</xdr:row>
      <xdr:rowOff>164353</xdr:rowOff>
    </xdr:from>
    <xdr:to>
      <xdr:col>3</xdr:col>
      <xdr:colOff>268940</xdr:colOff>
      <xdr:row>8</xdr:row>
      <xdr:rowOff>59766</xdr:rowOff>
    </xdr:to>
    <xdr:pic>
      <xdr:nvPicPr>
        <xdr:cNvPr id="9" name="Graphic 8" descr="Heart with pulse with solid fill">
          <a:extLst>
            <a:ext uri="{FF2B5EF4-FFF2-40B4-BE49-F238E27FC236}">
              <a16:creationId xmlns:a16="http://schemas.microsoft.com/office/drawing/2014/main" id="{93DF069E-EAB3-C154-6916-0BB5E6E140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5997" y="164353"/>
          <a:ext cx="1389531" cy="1389531"/>
        </a:xfrm>
        <a:prstGeom prst="rect">
          <a:avLst/>
        </a:prstGeom>
        <a:effectLst>
          <a:outerShdw blurRad="50800" dist="38100" dir="5400000" algn="t" rotWithShape="0">
            <a:prstClr val="black">
              <a:alpha val="40000"/>
            </a:prstClr>
          </a:outerShdw>
          <a:reflection blurRad="6350" stA="52000" endA="300" endPos="35000" dir="5400000" sy="-100000" algn="bl" rotWithShape="0"/>
        </a:effectLst>
      </xdr:spPr>
    </xdr:pic>
    <xdr:clientData/>
  </xdr:twoCellAnchor>
  <xdr:oneCellAnchor>
    <xdr:from>
      <xdr:col>3</xdr:col>
      <xdr:colOff>231589</xdr:colOff>
      <xdr:row>2</xdr:row>
      <xdr:rowOff>67237</xdr:rowOff>
    </xdr:from>
    <xdr:ext cx="10719281" cy="781111"/>
    <xdr:sp macro="" textlink="">
      <xdr:nvSpPr>
        <xdr:cNvPr id="16" name="TextBox 15">
          <a:extLst>
            <a:ext uri="{FF2B5EF4-FFF2-40B4-BE49-F238E27FC236}">
              <a16:creationId xmlns:a16="http://schemas.microsoft.com/office/drawing/2014/main" id="{AAA6119F-3302-875D-21AD-181C5F3D44CE}"/>
            </a:ext>
          </a:extLst>
        </xdr:cNvPr>
        <xdr:cNvSpPr txBox="1"/>
      </xdr:nvSpPr>
      <xdr:spPr>
        <a:xfrm>
          <a:off x="2368177" y="440766"/>
          <a:ext cx="10719281" cy="781111"/>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1">
              <a:solidFill>
                <a:schemeClr val="bg1"/>
              </a:solidFill>
            </a:rPr>
            <a:t>Healthcare Revenue &amp; Treatment Dashboard</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45486113" backgroundQuery="1" createdVersion="8" refreshedVersion="8" minRefreshableVersion="3" recordCount="0" supportSubquery="1" supportAdvancedDrill="1" xr:uid="{DEAAFC0C-2EC9-47C9-B020-0261EE37FAD6}">
  <cacheSource type="external" connectionId="3"/>
  <cacheFields count="2">
    <cacheField name="[Measures].[Avg Biaya]" caption="Avg Biaya" numFmtId="0" hierarchy="26" level="32767"/>
    <cacheField name="[Table1].[Waktu].[Waktu]" caption="Waktu" numFmtId="0" hierarchy="3"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fieldsUsage count="2">
        <fieldUsage x="-1"/>
        <fieldUsage x="1"/>
      </fieldsUsage>
    </cacheHierarchy>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0" memberValueDatatype="130" unbalanced="0"/>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oneField="1">
      <fieldsUsage count="1">
        <fieldUsage x="0"/>
      </fieldsUsage>
    </cacheHierarchy>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46296298" backgroundQuery="1" createdVersion="8" refreshedVersion="8" minRefreshableVersion="3" recordCount="0" supportSubquery="1" supportAdvancedDrill="1" xr:uid="{CAAB4E9B-18B3-4917-A303-7E3918BD0784}">
  <cacheSource type="external" connectionId="3"/>
  <cacheFields count="2">
    <cacheField name="[Measures].[Pendapatan per Dokter]" caption="Pendapatan per Dokter" numFmtId="0" hierarchy="28" level="32767"/>
    <cacheField name="[Table1].[Waktu].[Waktu]" caption="Waktu" numFmtId="0" hierarchy="3"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fieldsUsage count="2">
        <fieldUsage x="-1"/>
        <fieldUsage x="1"/>
      </fieldsUsage>
    </cacheHierarchy>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0" memberValueDatatype="130" unbalanced="0"/>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oneField="1">
      <fieldsUsage count="1">
        <fieldUsage x="0"/>
      </fieldsUsage>
    </cacheHierarchy>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46874998" backgroundQuery="1" createdVersion="8" refreshedVersion="8" minRefreshableVersion="3" recordCount="0" supportSubquery="1" supportAdvancedDrill="1" xr:uid="{00678DBB-502A-4652-BA1F-61C4C5F4DE8B}">
  <cacheSource type="external" connectionId="3"/>
  <cacheFields count="5">
    <cacheField name="[Table1].[Waktu].[Waktu]" caption="Waktu" numFmtId="0" hierarchy="3" level="1">
      <sharedItems count="20">
        <s v="1/1/2024"/>
        <s v="10/1/2024"/>
        <s v="11/1/2024"/>
        <s v="12/1/2024"/>
        <s v="13/01/2024"/>
        <s v="14/01/2024"/>
        <s v="15/01/2024"/>
        <s v="16/01/2024"/>
        <s v="17/01/2024"/>
        <s v="18/01/2024"/>
        <s v="19/01/2024"/>
        <s v="2/1/2024"/>
        <s v="20/01/2024"/>
        <s v="3/1/2024"/>
        <s v="4/1/2024"/>
        <s v="5/1/2024"/>
        <s v="6/1/2024"/>
        <s v="7/1/2024"/>
        <s v="8/1/2024"/>
        <s v="9/1/2024"/>
      </sharedItems>
    </cacheField>
    <cacheField name="[Measures].[Sum of TotalBiaya]" caption="Sum of TotalBiaya" numFmtId="0" hierarchy="37" level="32767"/>
    <cacheField name="[Measures].[Sum of Revenue]" caption="Sum of Revenue" numFmtId="0" hierarchy="41" level="32767"/>
    <cacheField name="[Measures].[Sum of Jumlah]" caption="Sum of Jumlah" numFmtId="0" hierarchy="40" level="32767"/>
    <cacheField name="[Table1].[Jenis_Layanan].[Jenis_Layanan]" caption="Jenis_Layanan" numFmtId="0" hierarchy="5" level="1">
      <sharedItems count="4">
        <s v="Rawat Jalan"/>
        <s v="Rawat Inap"/>
        <s v="Lab"/>
        <s v="Obat"/>
      </sharedItems>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fieldsUsage count="2">
        <fieldUsage x="-1"/>
        <fieldUsage x="0"/>
      </fieldsUsage>
    </cacheHierarchy>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2" memberValueDatatype="130" unbalanced="0">
      <fieldsUsage count="2">
        <fieldUsage x="-1"/>
        <fieldUsage x="4"/>
      </fieldsUsage>
    </cacheHierarchy>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4733796" backgroundQuery="1" createdVersion="8" refreshedVersion="8" minRefreshableVersion="3" recordCount="0" supportSubquery="1" supportAdvancedDrill="1" xr:uid="{8BBCCDB7-A5F8-42CC-8DF7-B161363D22E3}">
  <cacheSource type="external" connectionId="3"/>
  <cacheFields count="3">
    <cacheField name="[Table4].[Nama_Dokter].[Nama_Dokter]" caption="Nama_Dokter" numFmtId="0" hierarchy="16" level="1">
      <sharedItems count="1">
        <s v="Dr. Budi"/>
      </sharedItems>
    </cacheField>
    <cacheField name="[Measures].[Total Pendapatan]" caption="Total Pendapatan" numFmtId="0" hierarchy="24" level="32767"/>
    <cacheField name="[Table1].[Waktu].[Waktu]" caption="Waktu" numFmtId="0" hierarchy="3"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fieldsUsage count="2">
        <fieldUsage x="-1"/>
        <fieldUsage x="2"/>
      </fieldsUsage>
    </cacheHierarchy>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0" memberValueDatatype="130" unbalanced="0"/>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2" memberValueDatatype="130" unbalanced="0">
      <fieldsUsage count="2">
        <fieldUsage x="-1"/>
        <fieldUsage x="0"/>
      </fieldsUsage>
    </cacheHierarchy>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oneField="1">
      <fieldsUsage count="1">
        <fieldUsage x="1"/>
      </fieldsUsage>
    </cacheHierarchy>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62500001" backgroundQuery="1" createdVersion="8" refreshedVersion="8" minRefreshableVersion="3" recordCount="0" supportSubquery="1" supportAdvancedDrill="1" xr:uid="{74E43F3E-4456-499C-AF44-B366DF0B1765}">
  <cacheSource type="external" connectionId="3"/>
  <cacheFields count="2">
    <cacheField name="[Measures].[Total Pendapatan]" caption="Total Pendapatan" numFmtId="0" hierarchy="24" level="32767"/>
    <cacheField name="[Table1].[Jenis_Layanan].[Jenis_Layanan]" caption="Jenis_Layanan" numFmtId="0" hierarchy="5"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2" memberValueDatatype="130" unbalanced="0">
      <fieldsUsage count="2">
        <fieldUsage x="-1"/>
        <fieldUsage x="1"/>
      </fieldsUsage>
    </cacheHierarchy>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oneField="1">
      <fieldsUsage count="1">
        <fieldUsage x="0"/>
      </fieldsUsage>
    </cacheHierarchy>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62962963" backgroundQuery="1" createdVersion="8" refreshedVersion="8" minRefreshableVersion="3" recordCount="0" supportSubquery="1" supportAdvancedDrill="1" xr:uid="{F953E315-F47F-414C-B11E-25B11F95834A}">
  <cacheSource type="external" connectionId="3"/>
  <cacheFields count="2">
    <cacheField name="[Measures].[Total Pasien]" caption="Total Pasien" numFmtId="0" hierarchy="25" level="32767"/>
    <cacheField name="[Table1].[Jenis_Layanan].[Jenis_Layanan]" caption="Jenis_Layanan" numFmtId="0" hierarchy="5"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2" memberValueDatatype="130" unbalanced="0">
      <fieldsUsage count="2">
        <fieldUsage x="-1"/>
        <fieldUsage x="1"/>
      </fieldsUsage>
    </cacheHierarchy>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oneField="1">
      <fieldsUsage count="1">
        <fieldUsage x="0"/>
      </fieldsUsage>
    </cacheHierarchy>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63541663" backgroundQuery="1" createdVersion="8" refreshedVersion="8" minRefreshableVersion="3" recordCount="0" supportSubquery="1" supportAdvancedDrill="1" xr:uid="{6781F094-BA5A-481C-A96C-D94504781917}">
  <cacheSource type="external" connectionId="3"/>
  <cacheFields count="3">
    <cacheField name="[Table1].[Waktu].[Waktu]" caption="Waktu" numFmtId="0" hierarchy="3" level="1">
      <sharedItems count="20">
        <s v="1/1/2024"/>
        <s v="10/1/2024"/>
        <s v="11/1/2024"/>
        <s v="12/1/2024"/>
        <s v="13/01/2024"/>
        <s v="14/01/2024"/>
        <s v="15/01/2024"/>
        <s v="16/01/2024"/>
        <s v="17/01/2024"/>
        <s v="18/01/2024"/>
        <s v="19/01/2024"/>
        <s v="2/1/2024"/>
        <s v="20/01/2024"/>
        <s v="3/1/2024"/>
        <s v="4/1/2024"/>
        <s v="5/1/2024"/>
        <s v="6/1/2024"/>
        <s v="7/1/2024"/>
        <s v="8/1/2024"/>
        <s v="9/1/2024"/>
      </sharedItems>
    </cacheField>
    <cacheField name="[Measures].[Sum of TotalBiaya]" caption="Sum of TotalBiaya" numFmtId="0" hierarchy="37" level="32767"/>
    <cacheField name="[Table1].[Jenis_Layanan].[Jenis_Layanan]" caption="Jenis_Layanan" numFmtId="0" hierarchy="5"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fieldsUsage count="2">
        <fieldUsage x="-1"/>
        <fieldUsage x="0"/>
      </fieldsUsage>
    </cacheHierarchy>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2" memberValueDatatype="130" unbalanced="0">
      <fieldsUsage count="2">
        <fieldUsage x="-1"/>
        <fieldUsage x="2"/>
      </fieldsUsage>
    </cacheHierarchy>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9463657409" backgroundQuery="1" createdVersion="8" refreshedVersion="8" minRefreshableVersion="3" recordCount="0" supportSubquery="1" supportAdvancedDrill="1" xr:uid="{CF21D6EF-87A2-4F6C-B254-35660C869246}">
  <cacheSource type="external" connectionId="3"/>
  <cacheFields count="2">
    <cacheField name="[Measures].[Pendapatan Rawat Inap]" caption="Pendapatan Rawat Inap" numFmtId="0" hierarchy="27" level="32767"/>
    <cacheField name="[Table1].[Jenis_Layanan].[Jenis_Layanan]" caption="Jenis_Layanan" numFmtId="0" hierarchy="5" level="1">
      <sharedItems containsSemiMixedTypes="0" containsNonDate="0" containsString="0"/>
    </cacheField>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2" memberValueDatatype="130" unbalanced="0">
      <fieldsUsage count="2">
        <fieldUsage x="-1"/>
        <fieldUsage x="1"/>
      </fieldsUsage>
    </cacheHierarchy>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oneField="1">
      <fieldsUsage count="1">
        <fieldUsage x="0"/>
      </fieldsUsage>
    </cacheHierarchy>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31898495369" backgroundQuery="1" createdVersion="8" refreshedVersion="8" minRefreshableVersion="3" recordCount="0" supportSubquery="1" supportAdvancedDrill="1" xr:uid="{05CDC166-0F2B-43B3-8E22-0C98E3B8B287}">
  <cacheSource type="external" connectionId="3"/>
  <cacheFields count="2">
    <cacheField name="[Table1].[Jenis_Layanan].[Jenis_Layanan]" caption="Jenis_Layanan" numFmtId="0" hierarchy="5" level="1">
      <sharedItems count="1">
        <s v="Rawat Inap"/>
      </sharedItems>
    </cacheField>
    <cacheField name="[Measures].[Sum of Jumlah]" caption="Sum of Jumlah" numFmtId="0" hierarchy="40" level="32767"/>
  </cacheFields>
  <cacheHierarchies count="43">
    <cacheHierarchy uniqueName="[Table1].[TransaksiID]" caption="TransaksiID" attribute="1" defaultMemberUniqueName="[Table1].[TransaksiID].[All]" allUniqueName="[Table1].[TransaksiID].[All]" dimensionUniqueName="[Table1]" displayFolder="" count="0" memberValueDatatype="130" unbalanced="0"/>
    <cacheHierarchy uniqueName="[Table1].[PasienID]" caption="PasienID" attribute="1" defaultMemberUniqueName="[Table1].[PasienID].[All]" allUniqueName="[Table1].[PasienID].[All]" dimensionUniqueName="[Table1]" displayFolder="" count="0" memberValueDatatype="130" unbalanced="0"/>
    <cacheHierarchy uniqueName="[Table1].[DokterID]" caption="DokterID" attribute="1" defaultMemberUniqueName="[Table1].[DokterID].[All]" allUniqueName="[Table1].[DokterID].[All]" dimensionUniqueName="[Table1]" displayFolder="" count="0" memberValueDatatype="130" unbalanced="0"/>
    <cacheHierarchy uniqueName="[Table1].[Waktu]" caption="Waktu" attribute="1" defaultMemberUniqueName="[Table1].[Waktu].[All]" allUniqueName="[Table1].[Waktu].[All]" dimensionUniqueName="[Table1]" displayFolder="" count="2" memberValueDatatype="130" unbalanced="0"/>
    <cacheHierarchy uniqueName="[Table1].[KasirID]" caption="KasirID" attribute="1" defaultMemberUniqueName="[Table1].[KasirID].[All]" allUniqueName="[Table1].[KasirID].[All]" dimensionUniqueName="[Table1]" displayFolder="" count="0" memberValueDatatype="130" unbalanced="0"/>
    <cacheHierarchy uniqueName="[Table1].[Jenis_Layanan]" caption="Jenis_Layanan" attribute="1" defaultMemberUniqueName="[Table1].[Jenis_Layanan].[All]" allUniqueName="[Table1].[Jenis_Layanan].[All]" dimensionUniqueName="[Table1]" displayFolder="" count="2" memberValueDatatype="130" unbalanced="0">
      <fieldsUsage count="2">
        <fieldUsage x="-1"/>
        <fieldUsage x="0"/>
      </fieldsUsage>
    </cacheHierarchy>
    <cacheHierarchy uniqueName="[Table1].[Jumlah]" caption="Jumlah" attribute="1" defaultMemberUniqueName="[Table1].[Jumlah].[All]" allUniqueName="[Table1].[Jumlah].[All]" dimensionUniqueName="[Table1]" displayFolder="" count="0" memberValueDatatype="20" unbalanced="0"/>
    <cacheHierarchy uniqueName="[Table1].[TotalBiaya]" caption="TotalBiaya" attribute="1" defaultMemberUniqueName="[Table1].[TotalBiaya].[All]" allUniqueName="[Table1].[TotalBiaya].[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2].[DokterID]" caption="DokterID" attribute="1" defaultMemberUniqueName="[Table2].[DokterID].[All]" allUniqueName="[Table2].[DokterID].[All]" dimensionUniqueName="[Table2]" displayFolder="" count="0" memberValueDatatype="130" unbalanced="0"/>
    <cacheHierarchy uniqueName="[Table2].[Nama_Dokter]" caption="Nama_Dokter" attribute="1" defaultMemberUniqueName="[Table2].[Nama_Dokter].[All]" allUniqueName="[Table2].[Nama_Dokter].[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3].[Column1]" caption="Column1" attribute="1" defaultMemberUniqueName="[Table3].[Column1].[All]" allUniqueName="[Table3].[Column1].[All]" dimensionUniqueName="[Table3]" displayFolder="" count="0" memberValueDatatype="130" unbalanced="0"/>
    <cacheHierarchy uniqueName="[Table3].[Column2]" caption="Column2" attribute="1" defaultMemberUniqueName="[Table3].[Column2].[All]" allUniqueName="[Table3].[Column2].[All]" dimensionUniqueName="[Table3]" displayFolder="" count="0" memberValueDatatype="130" unbalanced="0"/>
    <cacheHierarchy uniqueName="[Table3].[Column3]" caption="Column3" attribute="1" defaultMemberUniqueName="[Table3].[Column3].[All]" allUniqueName="[Table3].[Column3].[All]" dimensionUniqueName="[Table3]" displayFolder="" count="0" memberValueDatatype="130" unbalanced="0"/>
    <cacheHierarchy uniqueName="[Table4].[DokterID]" caption="DokterID" attribute="1" defaultMemberUniqueName="[Table4].[DokterID].[All]" allUniqueName="[Table4].[DokterID].[All]" dimensionUniqueName="[Table4]" displayFolder="" count="0" memberValueDatatype="130" unbalanced="0"/>
    <cacheHierarchy uniqueName="[Table4].[Nama_Dokter]" caption="Nama_Dokter" attribute="1" defaultMemberUniqueName="[Table4].[Nama_Dokter].[All]" allUniqueName="[Table4].[Nama_Dokter].[All]" dimensionUniqueName="[Table4]" displayFolder="" count="0" memberValueDatatype="130" unbalanced="0"/>
    <cacheHierarchy uniqueName="[Table4].[Spesialis]" caption="Spesialis" attribute="1" defaultMemberUniqueName="[Table4].[Spesialis].[All]" allUniqueName="[Table4].[Spesialis].[All]" dimensionUniqueName="[Table4]" displayFolder="" count="0" memberValueDatatype="130" unbalanced="0"/>
    <cacheHierarchy uniqueName="[Table5].[PasienID]" caption="PasienID" attribute="1" defaultMemberUniqueName="[Table5].[PasienID].[All]" allUniqueName="[Table5].[PasienID].[All]" dimensionUniqueName="[Table5]" displayFolder="" count="0" memberValueDatatype="130" unbalanced="0"/>
    <cacheHierarchy uniqueName="[Table5].[Nama_Pasien]" caption="Nama_Pasien" attribute="1" defaultMemberUniqueName="[Table5].[Nama_Pasien].[All]" allUniqueName="[Table5].[Nama_Pasien].[All]" dimensionUniqueName="[Table5]" displayFolder="" count="0" memberValueDatatype="130" unbalanced="0"/>
    <cacheHierarchy uniqueName="[Table5].[Jenis_Kelamin]" caption="Jenis_Kelamin" attribute="1" defaultMemberUniqueName="[Table5].[Jenis_Kelamin].[All]" allUniqueName="[Table5].[Jenis_Kelamin].[All]" dimensionUniqueName="[Table5]" displayFolder="" count="0" memberValueDatatype="130" unbalanced="0"/>
    <cacheHierarchy uniqueName="[Table5].[Umur]" caption="Umur" attribute="1" defaultMemberUniqueName="[Table5].[Umur].[All]" allUniqueName="[Table5].[Umur].[All]" dimensionUniqueName="[Table5]" displayFolder="" count="0" memberValueDatatype="20" unbalanced="0"/>
    <cacheHierarchy uniqueName="[Table6].[KasirID]" caption="KasirID" attribute="1" defaultMemberUniqueName="[Table6].[KasirID].[All]" allUniqueName="[Table6].[KasirID].[All]" dimensionUniqueName="[Table6]" displayFolder="" count="0" memberValueDatatype="130" unbalanced="0"/>
    <cacheHierarchy uniqueName="[Table6].[Nama_Kasir]" caption="Nama_Kasir" attribute="1" defaultMemberUniqueName="[Table6].[Nama_Kasir].[All]" allUniqueName="[Table6].[Nama_Kasir].[All]" dimensionUniqueName="[Table6]" displayFolder="" count="0"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7"/>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0"/>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1"/>
        </ext>
      </extLst>
    </cacheHierarchy>
    <cacheHierarchy uniqueName="[Measures].[Sum of Jumlah]" caption="Sum of Jumlah"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5"/>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82.126351273146" backgroundQuery="1" createdVersion="3" refreshedVersion="8" minRefreshableVersion="3" recordCount="0" supportSubquery="1" supportAdvancedDrill="1" xr:uid="{98C4CE9C-91B1-462C-91F6-BB08130FB2AB}">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Measures]" caption="Measures" attribute="1" keyAttribute="1" defaultMemberUniqueName="[Measures].[__No measures defined]" dimensionUniqueName="[Measures]" displayFolder="" measures="1" count="1" memberValueDatatype="130" unbalanced="0"/>
    <cacheHierarchy uniqueName="[Table1].[TransaksiID]" caption="TransaksiID" attribute="1" defaultMemberUniqueName="[Table1].[TransaksiID].[All]" allUniqueName="[Table1].[TransaksiID].[All]" dimensionUniqueName="[Table1]" displayFolder="" count="2" memberValueDatatype="130" unbalanced="0"/>
    <cacheHierarchy uniqueName="[Table1].[PasienID]" caption="PasienID" attribute="1" defaultMemberUniqueName="[Table1].[PasienID].[All]" allUniqueName="[Table1].[PasienID].[All]" dimensionUniqueName="[Table1]" displayFolder="" count="2" memberValueDatatype="130" unbalanced="0"/>
    <cacheHierarchy uniqueName="[Table1].[DokterID]" caption="DokterID" attribute="1" defaultMemberUniqueName="[Table1].[DokterID].[All]" allUniqueName="[Table1].[DokterID].[All]" dimensionUniqueName="[Table1]" displayFolder="" count="2" memberValueDatatype="130" unbalanced="0"/>
    <cacheHierarchy uniqueName="[Table1].[Waktu]" caption="Waktu" attribute="1" defaultMemberUniqueName="[Table1].[Waktu].[All]" allUniqueName="[Table1].[Waktu].[All]" dimensionUniqueName="[Table1]" displayFolder="" count="2" memberValueDatatype="130" unbalanced="0"/>
    <cacheHierarchy uniqueName="[Table1].[KasirID]" caption="KasirID" attribute="1" defaultMemberUniqueName="[Table1].[KasirID].[All]" allUniqueName="[Table1].[KasirID].[All]" dimensionUniqueName="[Table1]" displayFolder="" count="2" memberValueDatatype="130" unbalanced="0"/>
    <cacheHierarchy uniqueName="[Table1].[Jenis_Layanan]" caption="Jenis_Layanan" attribute="1" defaultMemberUniqueName="[Table1].[Jenis_Layanan].[All]" allUniqueName="[Table1].[Jenis_Layanan].[All]" dimensionUniqueName="[Table1]" displayFolder="" count="2" memberValueDatatype="130" unbalanced="0"/>
    <cacheHierarchy uniqueName="[Table1].[Jumlah]" caption="Jumlah" attribute="1" defaultMemberUniqueName="[Table1].[Jumlah].[All]" allUniqueName="[Table1].[Jumlah].[All]" dimensionUniqueName="[Table1]" displayFolder="" count="2" memberValueDatatype="20" unbalanced="0"/>
    <cacheHierarchy uniqueName="[Table1].[TotalBiaya]" caption="TotalBiaya" attribute="1" defaultMemberUniqueName="[Table1].[TotalBiaya].[All]" allUniqueName="[Table1].[TotalBiaya].[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5" unbalanced="0"/>
    <cacheHierarchy uniqueName="[Table2].[DokterID]" caption="DokterID" attribute="1" defaultMemberUniqueName="[Table2].[DokterID].[All]" allUniqueName="[Table2].[DokterID].[All]" dimensionUniqueName="[Table2]" displayFolder="" count="2" memberValueDatatype="130" unbalanced="0"/>
    <cacheHierarchy uniqueName="[Table2].[Nama_Dokter]" caption="Nama_Dokter" attribute="1" defaultMemberUniqueName="[Table2].[Nama_Dokter].[All]" allUniqueName="[Table2].[Nama_Dokter].[All]" dimensionUniqueName="[Table2]" displayFolder="" count="2" memberValueDatatype="130" unbalanced="0"/>
    <cacheHierarchy uniqueName="[Table2].[Column3]" caption="Column3" attribute="1" defaultMemberUniqueName="[Table2].[Column3].[All]" allUniqueName="[Table2].[Column3].[All]" dimensionUniqueName="[Table2]" displayFolder="" count="2" memberValueDatatype="130" unbalanced="0"/>
    <cacheHierarchy uniqueName="[Table3].[Column1]" caption="Column1" attribute="1" defaultMemberUniqueName="[Table3].[Column1].[All]" allUniqueName="[Table3].[Column1].[All]" dimensionUniqueName="[Table3]" displayFolder="" count="2" memberValueDatatype="130" unbalanced="0"/>
    <cacheHierarchy uniqueName="[Table3].[Column2]" caption="Column2" attribute="1" defaultMemberUniqueName="[Table3].[Column2].[All]" allUniqueName="[Table3].[Column2].[All]" dimensionUniqueName="[Table3]" displayFolder="" count="2" memberValueDatatype="130" unbalanced="0"/>
    <cacheHierarchy uniqueName="[Table3].[Column3]" caption="Column3" attribute="1" defaultMemberUniqueName="[Table3].[Column3].[All]" allUniqueName="[Table3].[Column3].[All]" dimensionUniqueName="[Table3]" displayFolder="" count="2" memberValueDatatype="130" unbalanced="0"/>
    <cacheHierarchy uniqueName="[Table4].[DokterID]" caption="DokterID" attribute="1" defaultMemberUniqueName="[Table4].[DokterID].[All]" allUniqueName="[Table4].[DokterID].[All]" dimensionUniqueName="[Table4]" displayFolder="" count="2" memberValueDatatype="130" unbalanced="0"/>
    <cacheHierarchy uniqueName="[Table4].[Nama_Dokter]" caption="Nama_Dokter" attribute="1" defaultMemberUniqueName="[Table4].[Nama_Dokter].[All]" allUniqueName="[Table4].[Nama_Dokter].[All]" dimensionUniqueName="[Table4]" displayFolder="" count="2" memberValueDatatype="130" unbalanced="0"/>
    <cacheHierarchy uniqueName="[Table4].[Spesialis]" caption="Spesialis" attribute="1" defaultMemberUniqueName="[Table4].[Spesialis].[All]" allUniqueName="[Table4].[Spesialis].[All]" dimensionUniqueName="[Table4]" displayFolder="" count="2" memberValueDatatype="130" unbalanced="0"/>
    <cacheHierarchy uniqueName="[Table5].[PasienID]" caption="PasienID" attribute="1" defaultMemberUniqueName="[Table5].[PasienID].[All]" allUniqueName="[Table5].[PasienID].[All]" dimensionUniqueName="[Table5]" displayFolder="" count="2" memberValueDatatype="130" unbalanced="0"/>
    <cacheHierarchy uniqueName="[Table5].[Nama_Pasien]" caption="Nama_Pasien" attribute="1" defaultMemberUniqueName="[Table5].[Nama_Pasien].[All]" allUniqueName="[Table5].[Nama_Pasien].[All]" dimensionUniqueName="[Table5]" displayFolder="" count="2" memberValueDatatype="130" unbalanced="0"/>
    <cacheHierarchy uniqueName="[Table5].[Jenis_Kelamin]" caption="Jenis_Kelamin" attribute="1" defaultMemberUniqueName="[Table5].[Jenis_Kelamin].[All]" allUniqueName="[Table5].[Jenis_Kelamin].[All]" dimensionUniqueName="[Table5]" displayFolder="" count="2" memberValueDatatype="130" unbalanced="0"/>
    <cacheHierarchy uniqueName="[Table5].[Umur]" caption="Umur" attribute="1" defaultMemberUniqueName="[Table5].[Umur].[All]" allUniqueName="[Table5].[Umur].[All]" dimensionUniqueName="[Table5]" displayFolder="" count="2" memberValueDatatype="20" unbalanced="0"/>
    <cacheHierarchy uniqueName="[Table6].[KasirID]" caption="KasirID" attribute="1" defaultMemberUniqueName="[Table6].[KasirID].[All]" allUniqueName="[Table6].[KasirID].[All]" dimensionUniqueName="[Table6]" displayFolder="" count="2" memberValueDatatype="130" unbalanced="0"/>
    <cacheHierarchy uniqueName="[Table6].[Nama_Kasir]" caption="Nama_Kasir" attribute="1" defaultMemberUniqueName="[Table6].[Nama_Kasir].[All]" allUniqueName="[Table6].[Nama_Kasir].[All]" dimensionUniqueName="[Table6]" displayFolder="" count="2" memberValueDatatype="130" unbalanced="0"/>
    <cacheHierarchy uniqueName="[Measures].[Total Pendapatan]" caption="Total Pendapatan" measure="1" displayFolder="" measureGroup="Table1" count="0"/>
    <cacheHierarchy uniqueName="[Measures].[Total Pasien]" caption="Total Pasien" measure="1" displayFolder="" measureGroup="Table1" count="0"/>
    <cacheHierarchy uniqueName="[Measures].[Avg Biaya]" caption="Avg Biaya" measure="1" displayFolder="" measureGroup="Table1" count="0"/>
    <cacheHierarchy uniqueName="[Measures].[Pendapatan Rawat Inap]" caption="Pendapatan Rawat Inap" measure="1" displayFolder="" measureGroup="Table1" count="0"/>
    <cacheHierarchy uniqueName="[Measures].[Pendapatan per Dokter]" caption="Pendapatan per Dokter" measure="1" displayFolder="" measureGroup="Table1" count="0"/>
    <cacheHierarchy uniqueName="[Measures].[Growth Rate]" caption="Growth Rate"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TotalBiaya]" caption="Sum of TotalBiaya" measure="1" displayFolder="" measureGroup="Table1" count="0" hidden="1">
      <extLst>
        <ext xmlns:x15="http://schemas.microsoft.com/office/spreadsheetml/2010/11/main" uri="{B97F6D7D-B522-45F9-BDA1-12C45D357490}">
          <x15:cacheHierarchy aggregatedColumn="8"/>
        </ext>
      </extLst>
    </cacheHierarchy>
    <cacheHierarchy uniqueName="[Measures].[Count of TransaksiID]" caption="Count of TransaksiID" measure="1" displayFolder="" measureGroup="Table1" count="0" hidden="1">
      <extLst>
        <ext xmlns:x15="http://schemas.microsoft.com/office/spreadsheetml/2010/11/main" uri="{B97F6D7D-B522-45F9-BDA1-12C45D357490}">
          <x15:cacheHierarchy aggregatedColumn="1"/>
        </ext>
      </extLst>
    </cacheHierarchy>
    <cacheHierarchy uniqueName="[Measures].[Count of PasienID]" caption="Count of PasienID" measure="1" displayFolder="" measureGroup="Table1" count="0" hidden="1">
      <extLst>
        <ext xmlns:x15="http://schemas.microsoft.com/office/spreadsheetml/2010/11/main" uri="{B97F6D7D-B522-45F9-BDA1-12C45D357490}">
          <x15:cacheHierarchy aggregatedColumn="2"/>
        </ext>
      </extLst>
    </cacheHierarchy>
    <cacheHierarchy uniqueName="[Measures].[Sum of Jumlah]" caption="Sum of Jumlah" measure="1" displayFolder="" measureGroup="Table1"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9"/>
        </ext>
      </extLst>
    </cacheHierarchy>
    <cacheHierarchy uniqueName="[Measures].[Count of Jenis_Layanan]" caption="Count of Jenis_Layanan" measure="1" displayFolder="" measureGroup="Table1" count="0" hidden="1">
      <extLst>
        <ext xmlns:x15="http://schemas.microsoft.com/office/spreadsheetml/2010/11/main" uri="{B97F6D7D-B522-45F9-BDA1-12C45D357490}">
          <x15:cacheHierarchy aggregatedColumn="6"/>
        </ext>
      </extLst>
    </cacheHierarchy>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9">
    <map measureGroup="0" dimension="1"/>
    <map measureGroup="0" dimension="4"/>
    <map measureGroup="0" dimension="5"/>
    <map measureGroup="0" dimension="6"/>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licerData="1" pivotCacheId="17848635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57AF99-135D-4953-88A5-98A4880CA639}" name="PivotTable2" cacheId="5" applyNumberFormats="0" applyBorderFormats="0" applyFontFormats="0" applyPatternFormats="0" applyAlignmentFormats="0" applyWidthHeightFormats="1" dataCaption="Values" tag="ee5c77c7-aad4-4181-9b58-e45f7c793933" updatedVersion="8" minRefreshableVersion="3" useAutoFormatting="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1638A-C2DF-4B64-861F-DABB5A7F434B}" name="PivotTable1" cacheId="4" applyNumberFormats="0" applyBorderFormats="0" applyFontFormats="0" applyPatternFormats="0" applyAlignmentFormats="0" applyWidthHeightFormats="1" dataCaption="Values" tag="7cee17c3-625a-4289-bb42-0edcec548931"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0">
      <pivotArea outline="0" collapsedLevelsAreSubtotals="1" fieldPosition="0"/>
    </format>
  </formats>
  <pivotHierarchies count="43">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938972-3C14-4E75-BA98-E3C1ED02C478}" name="PivotTable4" cacheId="6" applyNumberFormats="0" applyBorderFormats="0" applyFontFormats="0" applyPatternFormats="0" applyAlignmentFormats="0" applyWidthHeightFormats="1" dataCaption="Values" tag="ec442533-ca02-4970-a571-7b6ff59a3e1a" updatedVersion="8" minRefreshableVersion="3" itemPrintTitles="1" createdVersion="8" indent="0" outline="1" outlineData="1" multipleFieldFilters="0" chartFormat="1">
  <location ref="A18:B39"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Biaya" fld="1" baseField="0" baseItem="0"/>
  </dataFields>
  <formats count="1">
    <format dxfId="1">
      <pivotArea dataOnly="0" labelOnly="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F3E8BC-B0B8-4A0F-A5E1-908E34C273C4}" name="PivotTable6" cacheId="1" applyNumberFormats="0" applyBorderFormats="0" applyFontFormats="0" applyPatternFormats="0" applyAlignmentFormats="0" applyWidthHeightFormats="1" dataCaption="Values" tag="6665a7b0-5a52-4114-b255-77d531843351" updatedVersion="8" minRefreshableVersion="3" useAutoFormatting="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
      <pivotArea outline="0" collapsedLevelsAreSubtotals="1" fieldPosition="0"/>
    </format>
  </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876FEF-9DBB-4F9F-9F06-20CFBC540A70}" name="PivotTable5" cacheId="7" applyNumberFormats="0" applyBorderFormats="0" applyFontFormats="0" applyPatternFormats="0" applyAlignmentFormats="0" applyWidthHeightFormats="1" dataCaption="Values" tag="f91d34c9-d75d-44c3-a1cb-61b456500ebf" updatedVersion="8" minRefreshableVersion="3"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3">
      <pivotArea outline="0" collapsedLevelsAreSubtotals="1" fieldPosition="0"/>
    </format>
  </formats>
  <pivotHierarchies count="43">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565086-2B2F-46B1-8838-E43FF15E0AA0}" name="PivotTable10" cacheId="8" applyNumberFormats="0" applyBorderFormats="0" applyFontFormats="0" applyPatternFormats="0" applyAlignmentFormats="0" applyWidthHeightFormats="1" dataCaption="Values" tag="daac934d-6e7b-4e66-9423-385dddb31190" updatedVersion="8" minRefreshableVersion="3" useAutoFormatting="1" itemPrintTitles="1" createdVersion="8" indent="0" outline="1" outlineData="1" multipleFieldFilters="0">
  <location ref="D41:E43"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Jumlah" fld="1" baseField="0" baseItem="0"/>
  </dataFields>
  <pivotHierarchies count="43">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1" filterVal="1"/>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F6C490-C763-4194-B177-DEDA4F0D18F8}" name="PivotTable9" cacheId="3" applyNumberFormats="0" applyBorderFormats="0" applyFontFormats="0" applyPatternFormats="0" applyAlignmentFormats="0" applyWidthHeightFormats="1" dataCaption="Values" tag="7074e3cc-8aaf-44f9-a209-31ebc83fa174" updatedVersion="8" minRefreshableVersion="3" useAutoFormatting="1" itemPrintTitles="1" createdVersion="8" indent="0" outline="1" outlineData="1" multipleFieldFilters="0">
  <location ref="A41:B43"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Revenue" fld="1" subtotal="count" baseField="0" baseItem="0"/>
  </dataField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 filterVal="1"/>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E21C96-E9A2-4FBF-90BE-9B91301B0191}" name="PivotTable3" cacheId="0" applyNumberFormats="0" applyBorderFormats="0" applyFontFormats="0" applyPatternFormats="0" applyAlignmentFormats="0" applyWidthHeightFormats="1" dataCaption="Values" tag="91fa480c-d760-4a69-b26e-4b2704fa76f3" updatedVersion="8" minRefreshableVersion="3" useAutoFormatting="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4">
      <pivotArea outline="0" collapsedLevelsAreSubtotals="1" fieldPosition="0"/>
    </format>
  </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D23D0C-2E22-40BF-8F37-20260B3A3367}" name="PivotTable7" cacheId="2" applyNumberFormats="0" applyBorderFormats="0" applyFontFormats="0" applyPatternFormats="0" applyAlignmentFormats="0" applyWidthHeightFormats="1" dataCaption="Values" tag="e9d53960-cf50-430e-a60d-ccef2af8f67a" updatedVersion="8" minRefreshableVersion="3" useAutoFormatting="1" subtotalHiddenItems="1" itemPrintTitles="1" createdVersion="8" indent="0" compact="0" compactData="0" multipleFieldFilters="0">
  <location ref="D18:H39" firstHeaderRow="0" firstDataRow="1" firstDataCol="2"/>
  <pivotFields count="5">
    <pivotField axis="axisRow"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0"/>
    <field x="4"/>
  </rowFields>
  <rowItems count="21">
    <i>
      <x/>
      <x/>
    </i>
    <i>
      <x v="1"/>
      <x/>
    </i>
    <i>
      <x v="2"/>
      <x v="1"/>
    </i>
    <i>
      <x v="3"/>
      <x v="2"/>
    </i>
    <i>
      <x v="4"/>
      <x v="3"/>
    </i>
    <i>
      <x v="5"/>
      <x/>
    </i>
    <i>
      <x v="6"/>
      <x v="1"/>
    </i>
    <i>
      <x v="7"/>
      <x/>
    </i>
    <i>
      <x v="8"/>
      <x v="2"/>
    </i>
    <i>
      <x v="9"/>
      <x v="3"/>
    </i>
    <i>
      <x v="10"/>
      <x/>
    </i>
    <i>
      <x v="11"/>
      <x v="1"/>
    </i>
    <i>
      <x v="12"/>
      <x v="1"/>
    </i>
    <i>
      <x v="13"/>
      <x v="2"/>
    </i>
    <i>
      <x v="14"/>
      <x/>
    </i>
    <i>
      <x v="15"/>
      <x v="3"/>
    </i>
    <i>
      <x v="16"/>
      <x v="1"/>
    </i>
    <i>
      <x v="17"/>
      <x v="2"/>
    </i>
    <i>
      <x v="18"/>
      <x/>
    </i>
    <i>
      <x v="19"/>
      <x v="3"/>
    </i>
    <i t="grand">
      <x/>
    </i>
  </rowItems>
  <colFields count="1">
    <field x="-2"/>
  </colFields>
  <colItems count="3">
    <i>
      <x/>
    </i>
    <i i="1">
      <x v="1"/>
    </i>
    <i i="2">
      <x v="2"/>
    </i>
  </colItems>
  <dataFields count="3">
    <dataField name="Sum of Jumlah" fld="3" baseField="0" baseItem="0"/>
    <dataField name="Sum of TotalBiaya" fld="1" baseField="0" baseItem="0"/>
    <dataField name="Sum of Revenue" fld="2" baseField="0" baseItem="0"/>
  </dataFields>
  <formats count="3">
    <format dxfId="7">
      <pivotArea collapsedLevelsAreSubtotals="1" fieldPosition="0">
        <references count="2">
          <reference field="4294967294" count="1" selected="0">
            <x v="2"/>
          </reference>
          <reference field="0" count="0"/>
        </references>
      </pivotArea>
    </format>
    <format dxfId="6">
      <pivotArea outline="0" fieldPosition="0">
        <references count="3">
          <reference field="4294967294" count="1" selected="0">
            <x v="2"/>
          </reference>
          <reference field="0" count="0" selected="0"/>
          <reference field="4" count="0" selected="0"/>
        </references>
      </pivotArea>
    </format>
    <format dxfId="5">
      <pivotArea dataOnly="0" labelOnly="1" outline="0" fieldPosition="0">
        <references count="1">
          <reference field="0" count="0"/>
        </references>
      </pivotArea>
    </format>
  </formats>
  <pivotHierarchies count="4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476CFC6-ACC7-4B3F-8DD8-D376952753B1}" autoFormatId="16" applyNumberFormats="0" applyBorderFormats="0" applyFontFormats="0" applyPatternFormats="0" applyAlignmentFormats="0" applyWidthHeightFormats="0">
  <queryTableRefresh nextId="9">
    <queryTableFields count="8">
      <queryTableField id="1" name="Table1[TransaksiID]" tableColumnId="1"/>
      <queryTableField id="2" name="Table1[PasienID]" tableColumnId="2"/>
      <queryTableField id="3" name="Table1[DokterID]" tableColumnId="3"/>
      <queryTableField id="4" name="Table1[Waktu]" tableColumnId="4"/>
      <queryTableField id="5" name="Table1[KasirID]" tableColumnId="5"/>
      <queryTableField id="6" name="Table1[Jenis_Layanan]" tableColumnId="6"/>
      <queryTableField id="7" name="Table1[Jumlah]" tableColumnId="7"/>
      <queryTableField id="8" name="Table1[TotalBiaya]" tableColumnId="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FF51AA7-8CD1-4DB2-AB95-72A05BFA2032}" autoFormatId="16" applyNumberFormats="0" applyBorderFormats="0" applyFontFormats="0" applyPatternFormats="0" applyAlignmentFormats="0" applyWidthHeightFormats="0">
  <queryTableRefresh nextId="9">
    <queryTableFields count="8">
      <queryTableField id="1" name="Table1[TransaksiID]" tableColumnId="1"/>
      <queryTableField id="2" name="Table1[PasienID]" tableColumnId="2"/>
      <queryTableField id="3" name="Table1[DokterID]" tableColumnId="3"/>
      <queryTableField id="4" name="Table1[Waktu]" tableColumnId="4"/>
      <queryTableField id="5" name="Table1[KasirID]" tableColumnId="5"/>
      <queryTableField id="6" name="Table1[Jenis_Layanan]" tableColumnId="6"/>
      <queryTableField id="7" name="Table1[Jumlah]" tableColumnId="7"/>
      <queryTableField id="8" name="Table1[TotalBiaya]"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ktu" xr10:uid="{93CE75CE-1C9E-4F91-BCBF-01EFB2493ED7}" sourceName="[Table1].[Waktu]">
  <pivotTables>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9"/>
  </pivotTables>
  <data>
    <olap pivotCacheId="1784863587">
      <levels count="2">
        <level uniqueName="[Table1].[Waktu].[(All)]" sourceCaption="(All)" count="0"/>
        <level uniqueName="[Table1].[Waktu].[Waktu]" sourceCaption="Waktu" count="20">
          <ranges>
            <range startItem="0">
              <i n="[Table1].[Waktu].&amp;[1/1/2024]" c="1/1/2024"/>
              <i n="[Table1].[Waktu].&amp;[10/1/2024]" c="10/1/2024"/>
              <i n="[Table1].[Waktu].&amp;[11/1/2024]" c="11/1/2024"/>
              <i n="[Table1].[Waktu].&amp;[12/1/2024]" c="12/1/2024"/>
              <i n="[Table1].[Waktu].&amp;[13/01/2024]" c="13/01/2024"/>
              <i n="[Table1].[Waktu].&amp;[14/01/2024]" c="14/01/2024"/>
              <i n="[Table1].[Waktu].&amp;[15/01/2024]" c="15/01/2024"/>
              <i n="[Table1].[Waktu].&amp;[16/01/2024]" c="16/01/2024"/>
              <i n="[Table1].[Waktu].&amp;[17/01/2024]" c="17/01/2024"/>
              <i n="[Table1].[Waktu].&amp;[18/01/2024]" c="18/01/2024"/>
              <i n="[Table1].[Waktu].&amp;[19/01/2024]" c="19/01/2024"/>
              <i n="[Table1].[Waktu].&amp;[2/1/2024]" c="2/1/2024"/>
              <i n="[Table1].[Waktu].&amp;[20/01/2024]" c="20/01/2024"/>
              <i n="[Table1].[Waktu].&amp;[3/1/2024]" c="3/1/2024"/>
              <i n="[Table1].[Waktu].&amp;[4/1/2024]" c="4/1/2024"/>
              <i n="[Table1].[Waktu].&amp;[5/1/2024]" c="5/1/2024"/>
              <i n="[Table1].[Waktu].&amp;[6/1/2024]" c="6/1/2024"/>
              <i n="[Table1].[Waktu].&amp;[7/1/2024]" c="7/1/2024"/>
              <i n="[Table1].[Waktu].&amp;[8/1/2024]" c="8/1/2024"/>
              <i n="[Table1].[Waktu].&amp;[9/1/2024]" c="9/1/2024"/>
            </range>
          </ranges>
        </level>
      </levels>
      <selections count="1">
        <selection n="[Table1].[Waktu].[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Layanan" xr10:uid="{BA54CBFE-2E1F-462B-9690-19E40312D051}" sourceName="[Table1].[Jenis_Layanan]">
  <pivotTables>
    <pivotTable tabId="8" name="PivotTable1"/>
    <pivotTable tabId="8" name="PivotTable10"/>
    <pivotTable tabId="8" name="PivotTable2"/>
    <pivotTable tabId="8" name="PivotTable4"/>
    <pivotTable tabId="8" name="PivotTable5"/>
  </pivotTables>
  <data>
    <olap pivotCacheId="1784863587">
      <levels count="2">
        <level uniqueName="[Table1].[Jenis_Layanan].[(All)]" sourceCaption="(All)" count="0"/>
        <level uniqueName="[Table1].[Jenis_Layanan].[Jenis_Layanan]" sourceCaption="Jenis_Layanan" count="4">
          <ranges>
            <range startItem="0">
              <i n="[Table1].[Jenis_Layanan].&amp;[Lab]" c="Lab"/>
              <i n="[Table1].[Jenis_Layanan].&amp;[Obat]" c="Obat"/>
              <i n="[Table1].[Jenis_Layanan].&amp;[Rawat Inap]" c="Rawat Inap"/>
              <i n="[Table1].[Jenis_Layanan].&amp;[Rawat Jalan]" c="Rawat Jalan"/>
            </range>
          </ranges>
        </level>
      </levels>
      <selections count="1">
        <selection n="[Table1].[Jenis_Layana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ktu" xr10:uid="{6E92896C-D3B8-437D-BF1C-B692BA2F68DE}" cache="Slicer_Waktu" caption="Waktu" columnCount="5" level="1" rowHeight="241300"/>
  <slicer name="Jenis_Layanan" xr10:uid="{AF3FDC44-DDED-4B96-9897-928DBBF657B9}" cache="Slicer_Jenis_Layanan" caption="Jenis_Layanan" columnCount="5" level="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083CF-023D-4B0F-939E-448703314940}" name="Table1" displayName="Table1" ref="A1:I21" totalsRowShown="0">
  <autoFilter ref="A1:I21" xr:uid="{F5D083CF-023D-4B0F-939E-448703314940}"/>
  <tableColumns count="9">
    <tableColumn id="1" xr3:uid="{3524120E-CCA9-4C92-BE4E-D9670F44E676}" name="TransaksiID"/>
    <tableColumn id="2" xr3:uid="{0C55F0A1-15B1-4D72-8801-3899984B5519}" name="PasienID"/>
    <tableColumn id="3" xr3:uid="{06E8B64D-360C-4A49-A3A8-834D84B05395}" name="DokterID"/>
    <tableColumn id="4" xr3:uid="{3080CCAF-2624-4A94-9359-2DDD276034B9}" name="Waktu"/>
    <tableColumn id="5" xr3:uid="{28CB08A5-A10F-4623-BCC6-42FBCF661EB9}" name="KasirID"/>
    <tableColumn id="6" xr3:uid="{65E34A7D-D2F5-436A-8E5A-2A07EA4EF692}" name="Jenis_Layanan"/>
    <tableColumn id="7" xr3:uid="{35B12FAD-138B-4D74-86B4-7C89F584DDE6}" name="Jumlah"/>
    <tableColumn id="8" xr3:uid="{DC5858AC-3101-4BB3-967C-537E23292C95}" name="TotalBiaya"/>
    <tableColumn id="9" xr3:uid="{D8EEABF2-1DA7-416A-A431-8BB288ADF87E}" name="Revenue" dataDxfId="8">
      <calculatedColumnFormula>Table1[[#This Row],[TotalBiaya]]/SUM(Table1[TotalBiaya])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F4B286-F836-4EF1-851C-5F2B7E09DC27}" name="Table5" displayName="Table5" ref="A1:D21" totalsRowShown="0">
  <autoFilter ref="A1:D21" xr:uid="{8DF4B286-F836-4EF1-851C-5F2B7E09DC27}"/>
  <tableColumns count="4">
    <tableColumn id="1" xr3:uid="{FA1F045A-48B9-465A-81D9-72E6E76F0346}" name="PasienID"/>
    <tableColumn id="2" xr3:uid="{8843B335-982B-4876-B123-1FB266B1749E}" name="Nama_Pasien"/>
    <tableColumn id="3" xr3:uid="{4DAB58FB-4EAA-4C91-97FE-C86580468F8D}" name="Jenis_Kelamin"/>
    <tableColumn id="4" xr3:uid="{C4EE3781-43B2-42C2-AEC4-0304694299CA}" name="Umu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82DA8B-A763-4AFA-B688-ADBA4C246EE7}" name="Table6" displayName="Table6" ref="A1:B6" totalsRowShown="0">
  <autoFilter ref="A1:B6" xr:uid="{6782DA8B-A763-4AFA-B688-ADBA4C246EE7}"/>
  <tableColumns count="2">
    <tableColumn id="1" xr3:uid="{277DE21A-4EC4-42D9-8449-AEC61221EF9C}" name="KasirID"/>
    <tableColumn id="2" xr3:uid="{5A9426DD-2194-42E7-BDDE-575BB6268491}" name="Nama_Kasi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E9A114-0A04-4015-B866-14ABD7B13493}" name="Table4" displayName="Table4" ref="A1:C11" totalsRowShown="0">
  <autoFilter ref="A1:C11" xr:uid="{63E9A114-0A04-4015-B866-14ABD7B13493}"/>
  <tableColumns count="3">
    <tableColumn id="1" xr3:uid="{FCCDE5CF-081C-4E44-A0D0-C24BBC951C91}" name="DokterID"/>
    <tableColumn id="2" xr3:uid="{EBFF2458-E5B1-47FB-A1C2-FE10ECC295C3}" name="Nama_Dokter"/>
    <tableColumn id="3" xr3:uid="{552EFA30-70C0-485E-B4A4-4905D7F31CB0}" name="Spesiali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15EF6C-F8B9-40C4-8D69-C0006429427A}" name="Table_ExternalData_1" displayName="Table_ExternalData_1" ref="A1:H21" tableType="queryTable" totalsRowShown="0">
  <autoFilter ref="A1:H21" xr:uid="{B015EF6C-F8B9-40C4-8D69-C0006429427A}"/>
  <tableColumns count="8">
    <tableColumn id="1" xr3:uid="{EC9EEAF8-ACCD-4D6D-A65F-70C07B74DBC5}" uniqueName="1" name="Table1[TransaksiID]" queryTableFieldId="1"/>
    <tableColumn id="2" xr3:uid="{BEC937C8-A747-48CC-BB6F-48E1CB8DB53B}" uniqueName="2" name="Table1[PasienID]" queryTableFieldId="2"/>
    <tableColumn id="3" xr3:uid="{58E572B8-DF00-4CA8-97F7-E5DF690486DD}" uniqueName="3" name="Table1[DokterID]" queryTableFieldId="3"/>
    <tableColumn id="4" xr3:uid="{6C325052-BBAF-4502-86E2-C83EAD73E8ED}" uniqueName="4" name="Table1[Waktu]" queryTableFieldId="4"/>
    <tableColumn id="5" xr3:uid="{EB01965C-334E-467D-865B-6080491A98D1}" uniqueName="5" name="Table1[KasirID]" queryTableFieldId="5"/>
    <tableColumn id="6" xr3:uid="{98D2B6EB-8A7A-49A4-A23E-E824D39FABA4}" uniqueName="6" name="Table1[Jenis_Layanan]" queryTableFieldId="6"/>
    <tableColumn id="7" xr3:uid="{CCE25F07-C125-4BA1-A1F3-4EF37A20415E}" uniqueName="7" name="Table1[Jumlah]" queryTableFieldId="7"/>
    <tableColumn id="8" xr3:uid="{75C746C4-CC43-421D-AFA6-5743128E412F}" uniqueName="8" name="Table1[TotalBiaya]" queryTableField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76210B-7BDF-4BE7-AE2F-0836682996C3}" name="Table_ExternalData_14" displayName="Table_ExternalData_14" ref="A3:H23" tableType="queryTable" totalsRowShown="0">
  <autoFilter ref="A3:H23" xr:uid="{AC76210B-7BDF-4BE7-AE2F-0836682996C3}"/>
  <tableColumns count="8">
    <tableColumn id="1" xr3:uid="{7AC1260D-8EAE-4689-98A7-DCE01C5D80DE}" uniqueName="1" name="Table1[TransaksiID]" queryTableFieldId="1"/>
    <tableColumn id="2" xr3:uid="{8B9B3269-B199-4652-BE97-48E3C2936D5C}" uniqueName="2" name="Table1[PasienID]" queryTableFieldId="2"/>
    <tableColumn id="3" xr3:uid="{66E68113-9744-468C-9647-3464B0A74F7D}" uniqueName="3" name="Table1[DokterID]" queryTableFieldId="3"/>
    <tableColumn id="4" xr3:uid="{33B9A008-5C05-43C2-A86F-A66428C5055A}" uniqueName="4" name="Table1[Waktu]" queryTableFieldId="4"/>
    <tableColumn id="5" xr3:uid="{85491B13-14A5-4F73-9144-95DBEF4AA66F}" uniqueName="5" name="Table1[KasirID]" queryTableFieldId="5"/>
    <tableColumn id="6" xr3:uid="{4CCA4EA4-E3B4-4C7F-8F94-C8FD13480591}" uniqueName="6" name="Table1[Jenis_Layanan]" queryTableFieldId="6"/>
    <tableColumn id="7" xr3:uid="{7E0F0266-06F5-4649-A6E4-4F61AA38F0EA}" uniqueName="7" name="Table1[Jumlah]" queryTableFieldId="7"/>
    <tableColumn id="8" xr3:uid="{05D0911F-EBA5-4603-84F8-6D98EF6A67BC}" uniqueName="8" name="Table1[TotalBiaya]"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0487-E3A6-49A0-BF91-CB4E52A9D054}">
  <dimension ref="A1:I21"/>
  <sheetViews>
    <sheetView workbookViewId="0">
      <selection activeCell="C33" sqref="C33"/>
    </sheetView>
  </sheetViews>
  <sheetFormatPr defaultRowHeight="14.5" x14ac:dyDescent="0.35"/>
  <cols>
    <col min="1" max="1" width="11.81640625" customWidth="1"/>
    <col min="2" max="2" width="9.6328125" customWidth="1"/>
    <col min="3" max="3" width="9.81640625" customWidth="1"/>
    <col min="4" max="4" width="10.453125" bestFit="1" customWidth="1"/>
    <col min="6" max="6" width="14.1796875" customWidth="1"/>
    <col min="8" max="8" width="11" customWidth="1"/>
  </cols>
  <sheetData>
    <row r="1" spans="1:9" x14ac:dyDescent="0.35">
      <c r="A1" t="s">
        <v>0</v>
      </c>
      <c r="B1" t="s">
        <v>1</v>
      </c>
      <c r="C1" t="s">
        <v>2</v>
      </c>
      <c r="D1" t="s">
        <v>3</v>
      </c>
      <c r="E1" t="s">
        <v>4</v>
      </c>
      <c r="F1" t="s">
        <v>5</v>
      </c>
      <c r="G1" t="s">
        <v>6</v>
      </c>
      <c r="H1" t="s">
        <v>7</v>
      </c>
      <c r="I1" t="s">
        <v>162</v>
      </c>
    </row>
    <row r="2" spans="1:9" x14ac:dyDescent="0.35">
      <c r="A2" t="s">
        <v>8</v>
      </c>
      <c r="B2" t="s">
        <v>9</v>
      </c>
      <c r="C2" t="s">
        <v>10</v>
      </c>
      <c r="D2" s="1">
        <v>45292</v>
      </c>
      <c r="E2" t="s">
        <v>11</v>
      </c>
      <c r="F2" t="s">
        <v>12</v>
      </c>
      <c r="G2">
        <v>1</v>
      </c>
      <c r="H2">
        <v>150000</v>
      </c>
      <c r="I2" s="14">
        <f>Table1[[#This Row],[TotalBiaya]]/SUM(Table1[TotalBiaya])</f>
        <v>2.1520803443328552E-2</v>
      </c>
    </row>
    <row r="3" spans="1:9" x14ac:dyDescent="0.35">
      <c r="A3" t="s">
        <v>13</v>
      </c>
      <c r="B3" t="s">
        <v>14</v>
      </c>
      <c r="C3" t="s">
        <v>15</v>
      </c>
      <c r="D3" s="1">
        <v>45323</v>
      </c>
      <c r="E3" t="s">
        <v>16</v>
      </c>
      <c r="F3" t="s">
        <v>17</v>
      </c>
      <c r="G3">
        <v>3</v>
      </c>
      <c r="H3">
        <v>900000</v>
      </c>
      <c r="I3" s="14">
        <f>Table1[[#This Row],[TotalBiaya]]/SUM(Table1[TotalBiaya])</f>
        <v>0.1291248206599713</v>
      </c>
    </row>
    <row r="4" spans="1:9" x14ac:dyDescent="0.35">
      <c r="A4" t="s">
        <v>18</v>
      </c>
      <c r="B4" t="s">
        <v>19</v>
      </c>
      <c r="C4" t="s">
        <v>20</v>
      </c>
      <c r="D4" s="1">
        <v>45352</v>
      </c>
      <c r="E4" t="s">
        <v>21</v>
      </c>
      <c r="F4" t="s">
        <v>22</v>
      </c>
      <c r="G4">
        <v>1</v>
      </c>
      <c r="H4">
        <v>250000</v>
      </c>
      <c r="I4" s="14">
        <f>Table1[[#This Row],[TotalBiaya]]/SUM(Table1[TotalBiaya])</f>
        <v>3.5868005738880916E-2</v>
      </c>
    </row>
    <row r="5" spans="1:9" x14ac:dyDescent="0.35">
      <c r="A5" t="s">
        <v>23</v>
      </c>
      <c r="B5" t="s">
        <v>24</v>
      </c>
      <c r="C5" t="s">
        <v>10</v>
      </c>
      <c r="D5" s="1">
        <v>45383</v>
      </c>
      <c r="E5" t="s">
        <v>11</v>
      </c>
      <c r="F5" t="s">
        <v>12</v>
      </c>
      <c r="G5">
        <v>1</v>
      </c>
      <c r="H5">
        <v>150000</v>
      </c>
      <c r="I5" s="14">
        <f>Table1[[#This Row],[TotalBiaya]]/SUM(Table1[TotalBiaya])</f>
        <v>2.1520803443328552E-2</v>
      </c>
    </row>
    <row r="6" spans="1:9" x14ac:dyDescent="0.35">
      <c r="A6" t="s">
        <v>25</v>
      </c>
      <c r="B6" t="s">
        <v>26</v>
      </c>
      <c r="C6" t="s">
        <v>27</v>
      </c>
      <c r="D6" s="1">
        <v>45413</v>
      </c>
      <c r="E6" t="s">
        <v>28</v>
      </c>
      <c r="F6" t="s">
        <v>29</v>
      </c>
      <c r="G6">
        <v>2</v>
      </c>
      <c r="H6">
        <v>120000</v>
      </c>
      <c r="I6" s="14">
        <f>Table1[[#This Row],[TotalBiaya]]/SUM(Table1[TotalBiaya])</f>
        <v>1.721664275466284E-2</v>
      </c>
    </row>
    <row r="7" spans="1:9" x14ac:dyDescent="0.35">
      <c r="A7" t="s">
        <v>30</v>
      </c>
      <c r="B7" t="s">
        <v>31</v>
      </c>
      <c r="C7" t="s">
        <v>15</v>
      </c>
      <c r="D7" s="1">
        <v>45444</v>
      </c>
      <c r="E7" t="s">
        <v>16</v>
      </c>
      <c r="F7" t="s">
        <v>17</v>
      </c>
      <c r="G7">
        <v>2</v>
      </c>
      <c r="H7">
        <v>600000</v>
      </c>
      <c r="I7" s="14">
        <f>Table1[[#This Row],[TotalBiaya]]/SUM(Table1[TotalBiaya])</f>
        <v>8.608321377331421E-2</v>
      </c>
    </row>
    <row r="8" spans="1:9" x14ac:dyDescent="0.35">
      <c r="A8" t="s">
        <v>32</v>
      </c>
      <c r="B8" t="s">
        <v>33</v>
      </c>
      <c r="C8" t="s">
        <v>20</v>
      </c>
      <c r="D8" s="1">
        <v>45474</v>
      </c>
      <c r="E8" t="s">
        <v>21</v>
      </c>
      <c r="F8" t="s">
        <v>22</v>
      </c>
      <c r="G8">
        <v>1</v>
      </c>
      <c r="H8">
        <v>200000</v>
      </c>
      <c r="I8" s="14">
        <f>Table1[[#This Row],[TotalBiaya]]/SUM(Table1[TotalBiaya])</f>
        <v>2.8694404591104734E-2</v>
      </c>
    </row>
    <row r="9" spans="1:9" x14ac:dyDescent="0.35">
      <c r="A9" t="s">
        <v>34</v>
      </c>
      <c r="B9" t="s">
        <v>35</v>
      </c>
      <c r="C9" t="s">
        <v>36</v>
      </c>
      <c r="D9" s="1">
        <v>45505</v>
      </c>
      <c r="E9" t="s">
        <v>37</v>
      </c>
      <c r="F9" t="s">
        <v>12</v>
      </c>
      <c r="G9">
        <v>1</v>
      </c>
      <c r="H9">
        <v>180000</v>
      </c>
      <c r="I9" s="14">
        <f>Table1[[#This Row],[TotalBiaya]]/SUM(Table1[TotalBiaya])</f>
        <v>2.5824964131994262E-2</v>
      </c>
    </row>
    <row r="10" spans="1:9" x14ac:dyDescent="0.35">
      <c r="A10" t="s">
        <v>38</v>
      </c>
      <c r="B10" t="s">
        <v>39</v>
      </c>
      <c r="C10" t="s">
        <v>10</v>
      </c>
      <c r="D10" s="1">
        <v>45536</v>
      </c>
      <c r="E10" t="s">
        <v>11</v>
      </c>
      <c r="F10" t="s">
        <v>29</v>
      </c>
      <c r="G10">
        <v>3</v>
      </c>
      <c r="H10">
        <v>210000</v>
      </c>
      <c r="I10" s="14">
        <f>Table1[[#This Row],[TotalBiaya]]/SUM(Table1[TotalBiaya])</f>
        <v>3.0129124820659971E-2</v>
      </c>
    </row>
    <row r="11" spans="1:9" x14ac:dyDescent="0.35">
      <c r="A11" t="s">
        <v>40</v>
      </c>
      <c r="B11" t="s">
        <v>41</v>
      </c>
      <c r="C11" t="s">
        <v>27</v>
      </c>
      <c r="D11" s="1">
        <v>45566</v>
      </c>
      <c r="E11" t="s">
        <v>28</v>
      </c>
      <c r="F11" t="s">
        <v>12</v>
      </c>
      <c r="G11">
        <v>1</v>
      </c>
      <c r="H11">
        <v>160000</v>
      </c>
      <c r="I11" s="14">
        <f>Table1[[#This Row],[TotalBiaya]]/SUM(Table1[TotalBiaya])</f>
        <v>2.2955523672883789E-2</v>
      </c>
    </row>
    <row r="12" spans="1:9" x14ac:dyDescent="0.35">
      <c r="A12" t="s">
        <v>42</v>
      </c>
      <c r="B12" t="s">
        <v>43</v>
      </c>
      <c r="C12" t="s">
        <v>15</v>
      </c>
      <c r="D12" s="1">
        <v>45597</v>
      </c>
      <c r="E12" t="s">
        <v>16</v>
      </c>
      <c r="F12" t="s">
        <v>17</v>
      </c>
      <c r="G12">
        <v>4</v>
      </c>
      <c r="H12">
        <v>1200000</v>
      </c>
      <c r="I12" s="14">
        <f>Table1[[#This Row],[TotalBiaya]]/SUM(Table1[TotalBiaya])</f>
        <v>0.17216642754662842</v>
      </c>
    </row>
    <row r="13" spans="1:9" x14ac:dyDescent="0.35">
      <c r="A13" t="s">
        <v>44</v>
      </c>
      <c r="B13" t="s">
        <v>45</v>
      </c>
      <c r="C13" t="s">
        <v>20</v>
      </c>
      <c r="D13" s="1">
        <v>45627</v>
      </c>
      <c r="E13" t="s">
        <v>21</v>
      </c>
      <c r="F13" t="s">
        <v>22</v>
      </c>
      <c r="G13">
        <v>1</v>
      </c>
      <c r="H13">
        <v>300000</v>
      </c>
      <c r="I13" s="14">
        <f>Table1[[#This Row],[TotalBiaya]]/SUM(Table1[TotalBiaya])</f>
        <v>4.3041606886657105E-2</v>
      </c>
    </row>
    <row r="14" spans="1:9" x14ac:dyDescent="0.35">
      <c r="A14" t="s">
        <v>46</v>
      </c>
      <c r="B14" t="s">
        <v>47</v>
      </c>
      <c r="C14" t="s">
        <v>36</v>
      </c>
      <c r="D14" t="s">
        <v>48</v>
      </c>
      <c r="E14" t="s">
        <v>37</v>
      </c>
      <c r="F14" t="s">
        <v>29</v>
      </c>
      <c r="G14">
        <v>2</v>
      </c>
      <c r="H14">
        <v>100000</v>
      </c>
      <c r="I14" s="14">
        <f>Table1[[#This Row],[TotalBiaya]]/SUM(Table1[TotalBiaya])</f>
        <v>1.4347202295552367E-2</v>
      </c>
    </row>
    <row r="15" spans="1:9" x14ac:dyDescent="0.35">
      <c r="A15" t="s">
        <v>49</v>
      </c>
      <c r="B15" t="s">
        <v>50</v>
      </c>
      <c r="C15" t="s">
        <v>10</v>
      </c>
      <c r="D15" t="s">
        <v>51</v>
      </c>
      <c r="E15" t="s">
        <v>11</v>
      </c>
      <c r="F15" t="s">
        <v>12</v>
      </c>
      <c r="G15">
        <v>1</v>
      </c>
      <c r="H15">
        <v>150000</v>
      </c>
      <c r="I15" s="14">
        <f>Table1[[#This Row],[TotalBiaya]]/SUM(Table1[TotalBiaya])</f>
        <v>2.1520803443328552E-2</v>
      </c>
    </row>
    <row r="16" spans="1:9" x14ac:dyDescent="0.35">
      <c r="A16" t="s">
        <v>52</v>
      </c>
      <c r="B16" t="s">
        <v>53</v>
      </c>
      <c r="C16" t="s">
        <v>27</v>
      </c>
      <c r="D16" t="s">
        <v>54</v>
      </c>
      <c r="E16" t="s">
        <v>28</v>
      </c>
      <c r="F16" t="s">
        <v>17</v>
      </c>
      <c r="G16">
        <v>2</v>
      </c>
      <c r="H16">
        <v>700000</v>
      </c>
      <c r="I16" s="14">
        <f>Table1[[#This Row],[TotalBiaya]]/SUM(Table1[TotalBiaya])</f>
        <v>0.10043041606886657</v>
      </c>
    </row>
    <row r="17" spans="1:9" x14ac:dyDescent="0.35">
      <c r="A17" t="s">
        <v>55</v>
      </c>
      <c r="B17" t="s">
        <v>56</v>
      </c>
      <c r="C17" t="s">
        <v>15</v>
      </c>
      <c r="D17" t="s">
        <v>57</v>
      </c>
      <c r="E17" t="s">
        <v>16</v>
      </c>
      <c r="F17" t="s">
        <v>12</v>
      </c>
      <c r="G17">
        <v>1</v>
      </c>
      <c r="H17">
        <v>170000</v>
      </c>
      <c r="I17" s="14">
        <f>Table1[[#This Row],[TotalBiaya]]/SUM(Table1[TotalBiaya])</f>
        <v>2.4390243902439025E-2</v>
      </c>
    </row>
    <row r="18" spans="1:9" x14ac:dyDescent="0.35">
      <c r="A18" t="s">
        <v>58</v>
      </c>
      <c r="B18" t="s">
        <v>59</v>
      </c>
      <c r="C18" t="s">
        <v>20</v>
      </c>
      <c r="D18" t="s">
        <v>60</v>
      </c>
      <c r="E18" t="s">
        <v>21</v>
      </c>
      <c r="F18" t="s">
        <v>22</v>
      </c>
      <c r="G18">
        <v>1</v>
      </c>
      <c r="H18">
        <v>250000</v>
      </c>
      <c r="I18" s="14">
        <f>Table1[[#This Row],[TotalBiaya]]/SUM(Table1[TotalBiaya])</f>
        <v>3.5868005738880916E-2</v>
      </c>
    </row>
    <row r="19" spans="1:9" x14ac:dyDescent="0.35">
      <c r="A19" t="s">
        <v>61</v>
      </c>
      <c r="B19" t="s">
        <v>62</v>
      </c>
      <c r="C19" t="s">
        <v>36</v>
      </c>
      <c r="D19" t="s">
        <v>63</v>
      </c>
      <c r="E19" t="s">
        <v>37</v>
      </c>
      <c r="F19" t="s">
        <v>29</v>
      </c>
      <c r="G19">
        <v>2</v>
      </c>
      <c r="H19">
        <v>130000</v>
      </c>
      <c r="I19" s="14">
        <f>Table1[[#This Row],[TotalBiaya]]/SUM(Table1[TotalBiaya])</f>
        <v>1.8651362984218076E-2</v>
      </c>
    </row>
    <row r="20" spans="1:9" x14ac:dyDescent="0.35">
      <c r="A20" t="s">
        <v>64</v>
      </c>
      <c r="B20" t="s">
        <v>65</v>
      </c>
      <c r="C20" t="s">
        <v>10</v>
      </c>
      <c r="D20" t="s">
        <v>66</v>
      </c>
      <c r="E20" t="s">
        <v>11</v>
      </c>
      <c r="F20" t="s">
        <v>12</v>
      </c>
      <c r="G20">
        <v>1</v>
      </c>
      <c r="H20">
        <v>150000</v>
      </c>
      <c r="I20" s="14">
        <f>Table1[[#This Row],[TotalBiaya]]/SUM(Table1[TotalBiaya])</f>
        <v>2.1520803443328552E-2</v>
      </c>
    </row>
    <row r="21" spans="1:9" x14ac:dyDescent="0.35">
      <c r="A21" t="s">
        <v>67</v>
      </c>
      <c r="B21" t="s">
        <v>68</v>
      </c>
      <c r="C21" t="s">
        <v>27</v>
      </c>
      <c r="D21" t="s">
        <v>69</v>
      </c>
      <c r="E21" t="s">
        <v>28</v>
      </c>
      <c r="F21" t="s">
        <v>17</v>
      </c>
      <c r="G21">
        <v>3</v>
      </c>
      <c r="H21">
        <v>900000</v>
      </c>
      <c r="I21" s="14">
        <f>Table1[[#This Row],[TotalBiaya]]/SUM(Table1[TotalBiaya])</f>
        <v>0.1291248206599713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03D7-339F-4D54-A8C0-CCCECA2B2EA7}">
  <dimension ref="A1:D21"/>
  <sheetViews>
    <sheetView workbookViewId="0">
      <selection activeCell="D26" sqref="D26"/>
    </sheetView>
  </sheetViews>
  <sheetFormatPr defaultRowHeight="14.5" x14ac:dyDescent="0.35"/>
  <cols>
    <col min="1" max="1" width="9.6328125" customWidth="1"/>
    <col min="2" max="2" width="13.54296875" customWidth="1"/>
    <col min="3" max="3" width="14.08984375" customWidth="1"/>
  </cols>
  <sheetData>
    <row r="1" spans="1:4" x14ac:dyDescent="0.35">
      <c r="A1" t="s">
        <v>1</v>
      </c>
      <c r="B1" t="s">
        <v>72</v>
      </c>
      <c r="C1" t="s">
        <v>73</v>
      </c>
      <c r="D1" t="s">
        <v>74</v>
      </c>
    </row>
    <row r="2" spans="1:4" x14ac:dyDescent="0.35">
      <c r="A2" t="s">
        <v>9</v>
      </c>
      <c r="B2" t="s">
        <v>75</v>
      </c>
      <c r="C2" t="s">
        <v>76</v>
      </c>
      <c r="D2">
        <v>25</v>
      </c>
    </row>
    <row r="3" spans="1:4" x14ac:dyDescent="0.35">
      <c r="A3" t="s">
        <v>14</v>
      </c>
      <c r="B3" t="s">
        <v>77</v>
      </c>
      <c r="C3" t="s">
        <v>76</v>
      </c>
      <c r="D3">
        <v>40</v>
      </c>
    </row>
    <row r="4" spans="1:4" x14ac:dyDescent="0.35">
      <c r="A4" t="s">
        <v>19</v>
      </c>
      <c r="B4" t="s">
        <v>78</v>
      </c>
      <c r="C4" t="s">
        <v>79</v>
      </c>
      <c r="D4">
        <v>30</v>
      </c>
    </row>
    <row r="5" spans="1:4" x14ac:dyDescent="0.35">
      <c r="A5" t="s">
        <v>24</v>
      </c>
      <c r="B5" t="s">
        <v>80</v>
      </c>
      <c r="C5" t="s">
        <v>79</v>
      </c>
      <c r="D5">
        <v>22</v>
      </c>
    </row>
    <row r="6" spans="1:4" x14ac:dyDescent="0.35">
      <c r="A6" t="s">
        <v>26</v>
      </c>
      <c r="B6" t="s">
        <v>81</v>
      </c>
      <c r="C6" t="s">
        <v>76</v>
      </c>
      <c r="D6">
        <v>35</v>
      </c>
    </row>
    <row r="7" spans="1:4" x14ac:dyDescent="0.35">
      <c r="A7" t="s">
        <v>31</v>
      </c>
      <c r="B7" t="s">
        <v>82</v>
      </c>
      <c r="C7" t="s">
        <v>76</v>
      </c>
      <c r="D7">
        <v>45</v>
      </c>
    </row>
    <row r="8" spans="1:4" x14ac:dyDescent="0.35">
      <c r="A8" t="s">
        <v>33</v>
      </c>
      <c r="B8" t="s">
        <v>83</v>
      </c>
      <c r="C8" t="s">
        <v>79</v>
      </c>
      <c r="D8">
        <v>28</v>
      </c>
    </row>
    <row r="9" spans="1:4" x14ac:dyDescent="0.35">
      <c r="A9" t="s">
        <v>35</v>
      </c>
      <c r="B9" t="s">
        <v>84</v>
      </c>
      <c r="C9" t="s">
        <v>76</v>
      </c>
      <c r="D9">
        <v>33</v>
      </c>
    </row>
    <row r="10" spans="1:4" x14ac:dyDescent="0.35">
      <c r="A10" t="s">
        <v>39</v>
      </c>
      <c r="B10" t="s">
        <v>85</v>
      </c>
      <c r="C10" t="s">
        <v>79</v>
      </c>
      <c r="D10">
        <v>27</v>
      </c>
    </row>
    <row r="11" spans="1:4" x14ac:dyDescent="0.35">
      <c r="A11" t="s">
        <v>41</v>
      </c>
      <c r="B11" t="s">
        <v>86</v>
      </c>
      <c r="C11" t="s">
        <v>76</v>
      </c>
      <c r="D11">
        <v>50</v>
      </c>
    </row>
    <row r="12" spans="1:4" x14ac:dyDescent="0.35">
      <c r="A12" t="s">
        <v>43</v>
      </c>
      <c r="B12" t="s">
        <v>87</v>
      </c>
      <c r="C12" t="s">
        <v>79</v>
      </c>
      <c r="D12">
        <v>29</v>
      </c>
    </row>
    <row r="13" spans="1:4" x14ac:dyDescent="0.35">
      <c r="A13" t="s">
        <v>45</v>
      </c>
      <c r="B13" t="s">
        <v>88</v>
      </c>
      <c r="C13" t="s">
        <v>79</v>
      </c>
      <c r="D13">
        <v>31</v>
      </c>
    </row>
    <row r="14" spans="1:4" x14ac:dyDescent="0.35">
      <c r="A14" t="s">
        <v>47</v>
      </c>
      <c r="B14" t="s">
        <v>89</v>
      </c>
      <c r="C14" t="s">
        <v>76</v>
      </c>
      <c r="D14">
        <v>36</v>
      </c>
    </row>
    <row r="15" spans="1:4" x14ac:dyDescent="0.35">
      <c r="A15" t="s">
        <v>50</v>
      </c>
      <c r="B15" t="s">
        <v>90</v>
      </c>
      <c r="C15" t="s">
        <v>79</v>
      </c>
      <c r="D15">
        <v>24</v>
      </c>
    </row>
    <row r="16" spans="1:4" x14ac:dyDescent="0.35">
      <c r="A16" t="s">
        <v>53</v>
      </c>
      <c r="B16" t="s">
        <v>91</v>
      </c>
      <c r="C16" t="s">
        <v>76</v>
      </c>
      <c r="D16">
        <v>42</v>
      </c>
    </row>
    <row r="17" spans="1:4" x14ac:dyDescent="0.35">
      <c r="A17" t="s">
        <v>56</v>
      </c>
      <c r="B17" t="s">
        <v>92</v>
      </c>
      <c r="C17" t="s">
        <v>79</v>
      </c>
      <c r="D17">
        <v>26</v>
      </c>
    </row>
    <row r="18" spans="1:4" x14ac:dyDescent="0.35">
      <c r="A18" t="s">
        <v>59</v>
      </c>
      <c r="B18" t="s">
        <v>93</v>
      </c>
      <c r="C18" t="s">
        <v>76</v>
      </c>
      <c r="D18">
        <v>38</v>
      </c>
    </row>
    <row r="19" spans="1:4" x14ac:dyDescent="0.35">
      <c r="A19" t="s">
        <v>62</v>
      </c>
      <c r="B19" t="s">
        <v>94</v>
      </c>
      <c r="C19" t="s">
        <v>79</v>
      </c>
      <c r="D19">
        <v>34</v>
      </c>
    </row>
    <row r="20" spans="1:4" x14ac:dyDescent="0.35">
      <c r="A20" t="s">
        <v>65</v>
      </c>
      <c r="B20" t="s">
        <v>95</v>
      </c>
      <c r="C20" t="s">
        <v>76</v>
      </c>
      <c r="D20">
        <v>41</v>
      </c>
    </row>
    <row r="21" spans="1:4" x14ac:dyDescent="0.35">
      <c r="A21" t="s">
        <v>68</v>
      </c>
      <c r="B21" t="s">
        <v>96</v>
      </c>
      <c r="C21" t="s">
        <v>79</v>
      </c>
      <c r="D21">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4973-B08C-428B-A709-F6D764364571}">
  <dimension ref="A1:B6"/>
  <sheetViews>
    <sheetView workbookViewId="0">
      <selection sqref="A1:B6"/>
    </sheetView>
  </sheetViews>
  <sheetFormatPr defaultRowHeight="14.5" x14ac:dyDescent="0.35"/>
  <cols>
    <col min="2" max="2" width="12.1796875" customWidth="1"/>
  </cols>
  <sheetData>
    <row r="1" spans="1:2" x14ac:dyDescent="0.35">
      <c r="A1" t="s">
        <v>4</v>
      </c>
      <c r="B1" t="s">
        <v>97</v>
      </c>
    </row>
    <row r="2" spans="1:2" x14ac:dyDescent="0.35">
      <c r="A2" t="s">
        <v>11</v>
      </c>
      <c r="B2" t="s">
        <v>98</v>
      </c>
    </row>
    <row r="3" spans="1:2" x14ac:dyDescent="0.35">
      <c r="A3" t="s">
        <v>16</v>
      </c>
      <c r="B3" t="s">
        <v>99</v>
      </c>
    </row>
    <row r="4" spans="1:2" x14ac:dyDescent="0.35">
      <c r="A4" t="s">
        <v>21</v>
      </c>
      <c r="B4" t="s">
        <v>100</v>
      </c>
    </row>
    <row r="5" spans="1:2" x14ac:dyDescent="0.35">
      <c r="A5" t="s">
        <v>28</v>
      </c>
      <c r="B5" t="s">
        <v>101</v>
      </c>
    </row>
    <row r="6" spans="1:2" x14ac:dyDescent="0.35">
      <c r="A6" t="s">
        <v>37</v>
      </c>
      <c r="B6" t="s">
        <v>102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996B-79DA-410C-A622-4E39A1F5059B}">
  <dimension ref="A1:C16"/>
  <sheetViews>
    <sheetView workbookViewId="0">
      <selection activeCell="A2" sqref="A2"/>
    </sheetView>
  </sheetViews>
  <sheetFormatPr defaultRowHeight="14.5" x14ac:dyDescent="0.35"/>
  <cols>
    <col min="1" max="1" width="9.81640625" customWidth="1"/>
    <col min="2" max="2" width="13.81640625" customWidth="1"/>
    <col min="3" max="3" width="9.54296875" customWidth="1"/>
  </cols>
  <sheetData>
    <row r="1" spans="1:3" x14ac:dyDescent="0.35">
      <c r="A1" t="s">
        <v>2</v>
      </c>
      <c r="B1" t="s">
        <v>70</v>
      </c>
      <c r="C1" t="s">
        <v>71</v>
      </c>
    </row>
    <row r="2" spans="1:3" x14ac:dyDescent="0.35">
      <c r="A2" t="s">
        <v>10</v>
      </c>
      <c r="B2" t="s">
        <v>103</v>
      </c>
      <c r="C2" t="s">
        <v>104</v>
      </c>
    </row>
    <row r="3" spans="1:3" x14ac:dyDescent="0.35">
      <c r="A3" t="s">
        <v>15</v>
      </c>
      <c r="B3" t="s">
        <v>105</v>
      </c>
      <c r="C3" t="s">
        <v>106</v>
      </c>
    </row>
    <row r="4" spans="1:3" x14ac:dyDescent="0.35">
      <c r="A4" t="s">
        <v>20</v>
      </c>
      <c r="B4" t="s">
        <v>107</v>
      </c>
      <c r="C4" t="s">
        <v>108</v>
      </c>
    </row>
    <row r="5" spans="1:3" x14ac:dyDescent="0.35">
      <c r="A5" t="s">
        <v>27</v>
      </c>
      <c r="B5" t="s">
        <v>109</v>
      </c>
      <c r="C5" t="s">
        <v>110</v>
      </c>
    </row>
    <row r="6" spans="1:3" x14ac:dyDescent="0.35">
      <c r="A6" t="s">
        <v>36</v>
      </c>
      <c r="B6" t="s">
        <v>111</v>
      </c>
      <c r="C6" t="s">
        <v>112</v>
      </c>
    </row>
    <row r="7" spans="1:3" x14ac:dyDescent="0.35">
      <c r="A7" t="s">
        <v>113</v>
      </c>
      <c r="B7" t="s">
        <v>114</v>
      </c>
      <c r="C7" t="s">
        <v>115</v>
      </c>
    </row>
    <row r="8" spans="1:3" x14ac:dyDescent="0.35">
      <c r="A8" t="s">
        <v>116</v>
      </c>
      <c r="B8" t="s">
        <v>117</v>
      </c>
      <c r="C8" t="s">
        <v>118</v>
      </c>
    </row>
    <row r="9" spans="1:3" x14ac:dyDescent="0.35">
      <c r="A9" t="s">
        <v>119</v>
      </c>
      <c r="B9" t="s">
        <v>120</v>
      </c>
      <c r="C9" t="s">
        <v>121</v>
      </c>
    </row>
    <row r="10" spans="1:3" x14ac:dyDescent="0.35">
      <c r="A10" t="s">
        <v>122</v>
      </c>
      <c r="B10" t="s">
        <v>123</v>
      </c>
      <c r="C10" t="s">
        <v>124</v>
      </c>
    </row>
    <row r="11" spans="1:3" x14ac:dyDescent="0.35">
      <c r="A11" t="s">
        <v>125</v>
      </c>
      <c r="B11" t="s">
        <v>126</v>
      </c>
      <c r="C11" t="s">
        <v>127</v>
      </c>
    </row>
    <row r="16" spans="1:3" x14ac:dyDescent="0.35">
      <c r="A16"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5BCD-4E2D-4811-BA1D-DE5B0ACDD328}">
  <dimension ref="A1:H21"/>
  <sheetViews>
    <sheetView workbookViewId="0">
      <selection activeCell="A5" sqref="A5"/>
    </sheetView>
  </sheetViews>
  <sheetFormatPr defaultRowHeight="14.5" x14ac:dyDescent="0.35"/>
  <cols>
    <col min="1" max="1" width="19.81640625" bestFit="1" customWidth="1"/>
    <col min="2" max="2" width="17.26953125" bestFit="1" customWidth="1"/>
    <col min="3" max="3" width="17.6328125" bestFit="1" customWidth="1"/>
    <col min="4" max="4" width="15.6328125" bestFit="1" customWidth="1"/>
    <col min="5" max="5" width="15.90625" bestFit="1" customWidth="1"/>
    <col min="6" max="6" width="22" bestFit="1" customWidth="1"/>
    <col min="7" max="7" width="15.90625" bestFit="1" customWidth="1"/>
    <col min="8" max="8" width="18.7265625" bestFit="1" customWidth="1"/>
  </cols>
  <sheetData>
    <row r="1" spans="1:8" x14ac:dyDescent="0.35">
      <c r="A1" t="s">
        <v>137</v>
      </c>
      <c r="B1" t="s">
        <v>138</v>
      </c>
      <c r="C1" t="s">
        <v>139</v>
      </c>
      <c r="D1" t="s">
        <v>140</v>
      </c>
      <c r="E1" t="s">
        <v>141</v>
      </c>
      <c r="F1" t="s">
        <v>142</v>
      </c>
      <c r="G1" t="s">
        <v>143</v>
      </c>
      <c r="H1" t="s">
        <v>144</v>
      </c>
    </row>
    <row r="2" spans="1:8" x14ac:dyDescent="0.35">
      <c r="A2" t="s">
        <v>8</v>
      </c>
      <c r="B2" t="s">
        <v>9</v>
      </c>
      <c r="C2" t="s">
        <v>10</v>
      </c>
      <c r="D2" t="s">
        <v>145</v>
      </c>
      <c r="E2" t="s">
        <v>11</v>
      </c>
      <c r="F2" t="s">
        <v>12</v>
      </c>
      <c r="G2">
        <v>1</v>
      </c>
      <c r="H2">
        <v>150000</v>
      </c>
    </row>
    <row r="3" spans="1:8" x14ac:dyDescent="0.35">
      <c r="A3" t="s">
        <v>13</v>
      </c>
      <c r="B3" t="s">
        <v>14</v>
      </c>
      <c r="C3" t="s">
        <v>15</v>
      </c>
      <c r="D3" t="s">
        <v>146</v>
      </c>
      <c r="E3" t="s">
        <v>16</v>
      </c>
      <c r="F3" t="s">
        <v>17</v>
      </c>
      <c r="G3">
        <v>3</v>
      </c>
      <c r="H3">
        <v>900000</v>
      </c>
    </row>
    <row r="4" spans="1:8" x14ac:dyDescent="0.35">
      <c r="A4" t="s">
        <v>18</v>
      </c>
      <c r="B4" t="s">
        <v>19</v>
      </c>
      <c r="C4" t="s">
        <v>20</v>
      </c>
      <c r="D4" t="s">
        <v>147</v>
      </c>
      <c r="E4" t="s">
        <v>21</v>
      </c>
      <c r="F4" t="s">
        <v>22</v>
      </c>
      <c r="G4">
        <v>1</v>
      </c>
      <c r="H4">
        <v>250000</v>
      </c>
    </row>
    <row r="5" spans="1:8" x14ac:dyDescent="0.35">
      <c r="A5" t="s">
        <v>23</v>
      </c>
      <c r="B5" t="s">
        <v>24</v>
      </c>
      <c r="C5" t="s">
        <v>10</v>
      </c>
      <c r="D5" t="s">
        <v>148</v>
      </c>
      <c r="E5" t="s">
        <v>11</v>
      </c>
      <c r="F5" t="s">
        <v>12</v>
      </c>
      <c r="G5">
        <v>1</v>
      </c>
      <c r="H5">
        <v>150000</v>
      </c>
    </row>
    <row r="6" spans="1:8" x14ac:dyDescent="0.35">
      <c r="A6" t="s">
        <v>25</v>
      </c>
      <c r="B6" t="s">
        <v>26</v>
      </c>
      <c r="C6" t="s">
        <v>27</v>
      </c>
      <c r="D6" t="s">
        <v>149</v>
      </c>
      <c r="E6" t="s">
        <v>28</v>
      </c>
      <c r="F6" t="s">
        <v>29</v>
      </c>
      <c r="G6">
        <v>2</v>
      </c>
      <c r="H6">
        <v>120000</v>
      </c>
    </row>
    <row r="7" spans="1:8" x14ac:dyDescent="0.35">
      <c r="A7" t="s">
        <v>30</v>
      </c>
      <c r="B7" t="s">
        <v>31</v>
      </c>
      <c r="C7" t="s">
        <v>15</v>
      </c>
      <c r="D7" t="s">
        <v>150</v>
      </c>
      <c r="E7" t="s">
        <v>16</v>
      </c>
      <c r="F7" t="s">
        <v>17</v>
      </c>
      <c r="G7">
        <v>2</v>
      </c>
      <c r="H7">
        <v>600000</v>
      </c>
    </row>
    <row r="8" spans="1:8" x14ac:dyDescent="0.35">
      <c r="A8" t="s">
        <v>32</v>
      </c>
      <c r="B8" t="s">
        <v>33</v>
      </c>
      <c r="C8" t="s">
        <v>20</v>
      </c>
      <c r="D8" t="s">
        <v>151</v>
      </c>
      <c r="E8" t="s">
        <v>21</v>
      </c>
      <c r="F8" t="s">
        <v>22</v>
      </c>
      <c r="G8">
        <v>1</v>
      </c>
      <c r="H8">
        <v>200000</v>
      </c>
    </row>
    <row r="9" spans="1:8" x14ac:dyDescent="0.35">
      <c r="A9" t="s">
        <v>34</v>
      </c>
      <c r="B9" t="s">
        <v>35</v>
      </c>
      <c r="C9" t="s">
        <v>36</v>
      </c>
      <c r="D9" t="s">
        <v>152</v>
      </c>
      <c r="E9" t="s">
        <v>37</v>
      </c>
      <c r="F9" t="s">
        <v>12</v>
      </c>
      <c r="G9">
        <v>1</v>
      </c>
      <c r="H9">
        <v>180000</v>
      </c>
    </row>
    <row r="10" spans="1:8" x14ac:dyDescent="0.35">
      <c r="A10" t="s">
        <v>38</v>
      </c>
      <c r="B10" t="s">
        <v>39</v>
      </c>
      <c r="C10" t="s">
        <v>10</v>
      </c>
      <c r="D10" t="s">
        <v>153</v>
      </c>
      <c r="E10" t="s">
        <v>11</v>
      </c>
      <c r="F10" t="s">
        <v>29</v>
      </c>
      <c r="G10">
        <v>3</v>
      </c>
      <c r="H10">
        <v>210000</v>
      </c>
    </row>
    <row r="11" spans="1:8" x14ac:dyDescent="0.35">
      <c r="A11" t="s">
        <v>40</v>
      </c>
      <c r="B11" t="s">
        <v>41</v>
      </c>
      <c r="C11" t="s">
        <v>27</v>
      </c>
      <c r="D11" t="s">
        <v>154</v>
      </c>
      <c r="E11" t="s">
        <v>28</v>
      </c>
      <c r="F11" t="s">
        <v>12</v>
      </c>
      <c r="G11">
        <v>1</v>
      </c>
      <c r="H11">
        <v>160000</v>
      </c>
    </row>
    <row r="12" spans="1:8" x14ac:dyDescent="0.35">
      <c r="A12" t="s">
        <v>42</v>
      </c>
      <c r="B12" t="s">
        <v>43</v>
      </c>
      <c r="C12" t="s">
        <v>15</v>
      </c>
      <c r="D12" t="s">
        <v>155</v>
      </c>
      <c r="E12" t="s">
        <v>16</v>
      </c>
      <c r="F12" t="s">
        <v>17</v>
      </c>
      <c r="G12">
        <v>4</v>
      </c>
      <c r="H12">
        <v>1200000</v>
      </c>
    </row>
    <row r="13" spans="1:8" x14ac:dyDescent="0.35">
      <c r="A13" t="s">
        <v>44</v>
      </c>
      <c r="B13" t="s">
        <v>45</v>
      </c>
      <c r="C13" t="s">
        <v>20</v>
      </c>
      <c r="D13" t="s">
        <v>156</v>
      </c>
      <c r="E13" t="s">
        <v>21</v>
      </c>
      <c r="F13" t="s">
        <v>22</v>
      </c>
      <c r="G13">
        <v>1</v>
      </c>
      <c r="H13">
        <v>300000</v>
      </c>
    </row>
    <row r="14" spans="1:8" x14ac:dyDescent="0.35">
      <c r="A14" t="s">
        <v>46</v>
      </c>
      <c r="B14" t="s">
        <v>47</v>
      </c>
      <c r="C14" t="s">
        <v>36</v>
      </c>
      <c r="D14" t="s">
        <v>48</v>
      </c>
      <c r="E14" t="s">
        <v>37</v>
      </c>
      <c r="F14" t="s">
        <v>29</v>
      </c>
      <c r="G14">
        <v>2</v>
      </c>
      <c r="H14">
        <v>100000</v>
      </c>
    </row>
    <row r="15" spans="1:8" x14ac:dyDescent="0.35">
      <c r="A15" t="s">
        <v>49</v>
      </c>
      <c r="B15" t="s">
        <v>50</v>
      </c>
      <c r="C15" t="s">
        <v>10</v>
      </c>
      <c r="D15" t="s">
        <v>51</v>
      </c>
      <c r="E15" t="s">
        <v>11</v>
      </c>
      <c r="F15" t="s">
        <v>12</v>
      </c>
      <c r="G15">
        <v>1</v>
      </c>
      <c r="H15">
        <v>150000</v>
      </c>
    </row>
    <row r="16" spans="1:8" x14ac:dyDescent="0.35">
      <c r="A16" t="s">
        <v>52</v>
      </c>
      <c r="B16" t="s">
        <v>53</v>
      </c>
      <c r="C16" t="s">
        <v>27</v>
      </c>
      <c r="D16" t="s">
        <v>54</v>
      </c>
      <c r="E16" t="s">
        <v>28</v>
      </c>
      <c r="F16" t="s">
        <v>17</v>
      </c>
      <c r="G16">
        <v>2</v>
      </c>
      <c r="H16">
        <v>700000</v>
      </c>
    </row>
    <row r="17" spans="1:8" x14ac:dyDescent="0.35">
      <c r="A17" t="s">
        <v>55</v>
      </c>
      <c r="B17" t="s">
        <v>56</v>
      </c>
      <c r="C17" t="s">
        <v>15</v>
      </c>
      <c r="D17" t="s">
        <v>57</v>
      </c>
      <c r="E17" t="s">
        <v>16</v>
      </c>
      <c r="F17" t="s">
        <v>12</v>
      </c>
      <c r="G17">
        <v>1</v>
      </c>
      <c r="H17">
        <v>170000</v>
      </c>
    </row>
    <row r="18" spans="1:8" x14ac:dyDescent="0.35">
      <c r="A18" t="s">
        <v>58</v>
      </c>
      <c r="B18" t="s">
        <v>59</v>
      </c>
      <c r="C18" t="s">
        <v>20</v>
      </c>
      <c r="D18" t="s">
        <v>60</v>
      </c>
      <c r="E18" t="s">
        <v>21</v>
      </c>
      <c r="F18" t="s">
        <v>22</v>
      </c>
      <c r="G18">
        <v>1</v>
      </c>
      <c r="H18">
        <v>250000</v>
      </c>
    </row>
    <row r="19" spans="1:8" x14ac:dyDescent="0.35">
      <c r="A19" t="s">
        <v>61</v>
      </c>
      <c r="B19" t="s">
        <v>62</v>
      </c>
      <c r="C19" t="s">
        <v>36</v>
      </c>
      <c r="D19" t="s">
        <v>63</v>
      </c>
      <c r="E19" t="s">
        <v>37</v>
      </c>
      <c r="F19" t="s">
        <v>29</v>
      </c>
      <c r="G19">
        <v>2</v>
      </c>
      <c r="H19">
        <v>130000</v>
      </c>
    </row>
    <row r="20" spans="1:8" x14ac:dyDescent="0.35">
      <c r="A20" t="s">
        <v>64</v>
      </c>
      <c r="B20" t="s">
        <v>65</v>
      </c>
      <c r="C20" t="s">
        <v>10</v>
      </c>
      <c r="D20" t="s">
        <v>66</v>
      </c>
      <c r="E20" t="s">
        <v>11</v>
      </c>
      <c r="F20" t="s">
        <v>12</v>
      </c>
      <c r="G20">
        <v>1</v>
      </c>
      <c r="H20">
        <v>150000</v>
      </c>
    </row>
    <row r="21" spans="1:8" x14ac:dyDescent="0.35">
      <c r="A21" t="s">
        <v>67</v>
      </c>
      <c r="B21" t="s">
        <v>68</v>
      </c>
      <c r="C21" t="s">
        <v>27</v>
      </c>
      <c r="D21" t="s">
        <v>69</v>
      </c>
      <c r="E21" t="s">
        <v>28</v>
      </c>
      <c r="F21" t="s">
        <v>17</v>
      </c>
      <c r="G21">
        <v>3</v>
      </c>
      <c r="H21">
        <v>900000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E116-FA75-45A1-B5B4-2C88F66940A8}">
  <dimension ref="A1:H23"/>
  <sheetViews>
    <sheetView workbookViewId="0"/>
  </sheetViews>
  <sheetFormatPr defaultRowHeight="14.5" x14ac:dyDescent="0.35"/>
  <cols>
    <col min="1" max="1" width="19.81640625" bestFit="1" customWidth="1"/>
    <col min="2" max="2" width="17.26953125" bestFit="1" customWidth="1"/>
    <col min="3" max="3" width="17.6328125" bestFit="1" customWidth="1"/>
    <col min="4" max="4" width="15.6328125" bestFit="1" customWidth="1"/>
    <col min="5" max="5" width="15.90625" bestFit="1" customWidth="1"/>
    <col min="6" max="6" width="22" bestFit="1" customWidth="1"/>
    <col min="7" max="7" width="15.90625" bestFit="1" customWidth="1"/>
    <col min="8" max="8" width="18.7265625" bestFit="1" customWidth="1"/>
  </cols>
  <sheetData>
    <row r="1" spans="1:8" x14ac:dyDescent="0.35">
      <c r="A1" s="12" t="s">
        <v>157</v>
      </c>
    </row>
    <row r="3" spans="1:8" x14ac:dyDescent="0.35">
      <c r="A3" t="s">
        <v>137</v>
      </c>
      <c r="B3" t="s">
        <v>138</v>
      </c>
      <c r="C3" t="s">
        <v>139</v>
      </c>
      <c r="D3" t="s">
        <v>140</v>
      </c>
      <c r="E3" t="s">
        <v>141</v>
      </c>
      <c r="F3" t="s">
        <v>142</v>
      </c>
      <c r="G3" t="s">
        <v>143</v>
      </c>
      <c r="H3" t="s">
        <v>144</v>
      </c>
    </row>
    <row r="4" spans="1:8" x14ac:dyDescent="0.35">
      <c r="A4" t="s">
        <v>8</v>
      </c>
      <c r="B4" t="s">
        <v>9</v>
      </c>
      <c r="C4" t="s">
        <v>10</v>
      </c>
      <c r="D4" t="s">
        <v>145</v>
      </c>
      <c r="E4" t="s">
        <v>11</v>
      </c>
      <c r="F4" t="s">
        <v>12</v>
      </c>
      <c r="G4">
        <v>1</v>
      </c>
      <c r="H4">
        <v>150000</v>
      </c>
    </row>
    <row r="5" spans="1:8" x14ac:dyDescent="0.35">
      <c r="A5" t="s">
        <v>13</v>
      </c>
      <c r="B5" t="s">
        <v>14</v>
      </c>
      <c r="C5" t="s">
        <v>15</v>
      </c>
      <c r="D5" t="s">
        <v>146</v>
      </c>
      <c r="E5" t="s">
        <v>16</v>
      </c>
      <c r="F5" t="s">
        <v>17</v>
      </c>
      <c r="G5">
        <v>3</v>
      </c>
      <c r="H5">
        <v>900000</v>
      </c>
    </row>
    <row r="6" spans="1:8" x14ac:dyDescent="0.35">
      <c r="A6" t="s">
        <v>18</v>
      </c>
      <c r="B6" t="s">
        <v>19</v>
      </c>
      <c r="C6" t="s">
        <v>20</v>
      </c>
      <c r="D6" t="s">
        <v>147</v>
      </c>
      <c r="E6" t="s">
        <v>21</v>
      </c>
      <c r="F6" t="s">
        <v>22</v>
      </c>
      <c r="G6">
        <v>1</v>
      </c>
      <c r="H6">
        <v>250000</v>
      </c>
    </row>
    <row r="7" spans="1:8" x14ac:dyDescent="0.35">
      <c r="A7" t="s">
        <v>23</v>
      </c>
      <c r="B7" t="s">
        <v>24</v>
      </c>
      <c r="C7" t="s">
        <v>10</v>
      </c>
      <c r="D7" t="s">
        <v>148</v>
      </c>
      <c r="E7" t="s">
        <v>11</v>
      </c>
      <c r="F7" t="s">
        <v>12</v>
      </c>
      <c r="G7">
        <v>1</v>
      </c>
      <c r="H7">
        <v>150000</v>
      </c>
    </row>
    <row r="8" spans="1:8" x14ac:dyDescent="0.35">
      <c r="A8" t="s">
        <v>25</v>
      </c>
      <c r="B8" t="s">
        <v>26</v>
      </c>
      <c r="C8" t="s">
        <v>27</v>
      </c>
      <c r="D8" t="s">
        <v>149</v>
      </c>
      <c r="E8" t="s">
        <v>28</v>
      </c>
      <c r="F8" t="s">
        <v>29</v>
      </c>
      <c r="G8">
        <v>2</v>
      </c>
      <c r="H8">
        <v>120000</v>
      </c>
    </row>
    <row r="9" spans="1:8" x14ac:dyDescent="0.35">
      <c r="A9" t="s">
        <v>30</v>
      </c>
      <c r="B9" t="s">
        <v>31</v>
      </c>
      <c r="C9" t="s">
        <v>15</v>
      </c>
      <c r="D9" t="s">
        <v>150</v>
      </c>
      <c r="E9" t="s">
        <v>16</v>
      </c>
      <c r="F9" t="s">
        <v>17</v>
      </c>
      <c r="G9">
        <v>2</v>
      </c>
      <c r="H9">
        <v>600000</v>
      </c>
    </row>
    <row r="10" spans="1:8" x14ac:dyDescent="0.35">
      <c r="A10" t="s">
        <v>32</v>
      </c>
      <c r="B10" t="s">
        <v>33</v>
      </c>
      <c r="C10" t="s">
        <v>20</v>
      </c>
      <c r="D10" t="s">
        <v>151</v>
      </c>
      <c r="E10" t="s">
        <v>21</v>
      </c>
      <c r="F10" t="s">
        <v>22</v>
      </c>
      <c r="G10">
        <v>1</v>
      </c>
      <c r="H10">
        <v>200000</v>
      </c>
    </row>
    <row r="11" spans="1:8" x14ac:dyDescent="0.35">
      <c r="A11" t="s">
        <v>34</v>
      </c>
      <c r="B11" t="s">
        <v>35</v>
      </c>
      <c r="C11" t="s">
        <v>36</v>
      </c>
      <c r="D11" t="s">
        <v>152</v>
      </c>
      <c r="E11" t="s">
        <v>37</v>
      </c>
      <c r="F11" t="s">
        <v>12</v>
      </c>
      <c r="G11">
        <v>1</v>
      </c>
      <c r="H11">
        <v>180000</v>
      </c>
    </row>
    <row r="12" spans="1:8" x14ac:dyDescent="0.35">
      <c r="A12" t="s">
        <v>38</v>
      </c>
      <c r="B12" t="s">
        <v>39</v>
      </c>
      <c r="C12" t="s">
        <v>10</v>
      </c>
      <c r="D12" t="s">
        <v>153</v>
      </c>
      <c r="E12" t="s">
        <v>11</v>
      </c>
      <c r="F12" t="s">
        <v>29</v>
      </c>
      <c r="G12">
        <v>3</v>
      </c>
      <c r="H12">
        <v>210000</v>
      </c>
    </row>
    <row r="13" spans="1:8" x14ac:dyDescent="0.35">
      <c r="A13" t="s">
        <v>40</v>
      </c>
      <c r="B13" t="s">
        <v>41</v>
      </c>
      <c r="C13" t="s">
        <v>27</v>
      </c>
      <c r="D13" t="s">
        <v>154</v>
      </c>
      <c r="E13" t="s">
        <v>28</v>
      </c>
      <c r="F13" t="s">
        <v>12</v>
      </c>
      <c r="G13">
        <v>1</v>
      </c>
      <c r="H13">
        <v>160000</v>
      </c>
    </row>
    <row r="14" spans="1:8" x14ac:dyDescent="0.35">
      <c r="A14" t="s">
        <v>42</v>
      </c>
      <c r="B14" t="s">
        <v>43</v>
      </c>
      <c r="C14" t="s">
        <v>15</v>
      </c>
      <c r="D14" t="s">
        <v>155</v>
      </c>
      <c r="E14" t="s">
        <v>16</v>
      </c>
      <c r="F14" t="s">
        <v>17</v>
      </c>
      <c r="G14">
        <v>4</v>
      </c>
      <c r="H14">
        <v>1200000</v>
      </c>
    </row>
    <row r="15" spans="1:8" x14ac:dyDescent="0.35">
      <c r="A15" t="s">
        <v>44</v>
      </c>
      <c r="B15" t="s">
        <v>45</v>
      </c>
      <c r="C15" t="s">
        <v>20</v>
      </c>
      <c r="D15" t="s">
        <v>156</v>
      </c>
      <c r="E15" t="s">
        <v>21</v>
      </c>
      <c r="F15" t="s">
        <v>22</v>
      </c>
      <c r="G15">
        <v>1</v>
      </c>
      <c r="H15">
        <v>300000</v>
      </c>
    </row>
    <row r="16" spans="1:8" x14ac:dyDescent="0.35">
      <c r="A16" t="s">
        <v>46</v>
      </c>
      <c r="B16" t="s">
        <v>47</v>
      </c>
      <c r="C16" t="s">
        <v>36</v>
      </c>
      <c r="D16" t="s">
        <v>48</v>
      </c>
      <c r="E16" t="s">
        <v>37</v>
      </c>
      <c r="F16" t="s">
        <v>29</v>
      </c>
      <c r="G16">
        <v>2</v>
      </c>
      <c r="H16">
        <v>100000</v>
      </c>
    </row>
    <row r="17" spans="1:8" x14ac:dyDescent="0.35">
      <c r="A17" t="s">
        <v>49</v>
      </c>
      <c r="B17" t="s">
        <v>50</v>
      </c>
      <c r="C17" t="s">
        <v>10</v>
      </c>
      <c r="D17" t="s">
        <v>51</v>
      </c>
      <c r="E17" t="s">
        <v>11</v>
      </c>
      <c r="F17" t="s">
        <v>12</v>
      </c>
      <c r="G17">
        <v>1</v>
      </c>
      <c r="H17">
        <v>150000</v>
      </c>
    </row>
    <row r="18" spans="1:8" x14ac:dyDescent="0.35">
      <c r="A18" t="s">
        <v>52</v>
      </c>
      <c r="B18" t="s">
        <v>53</v>
      </c>
      <c r="C18" t="s">
        <v>27</v>
      </c>
      <c r="D18" t="s">
        <v>54</v>
      </c>
      <c r="E18" t="s">
        <v>28</v>
      </c>
      <c r="F18" t="s">
        <v>17</v>
      </c>
      <c r="G18">
        <v>2</v>
      </c>
      <c r="H18">
        <v>700000</v>
      </c>
    </row>
    <row r="19" spans="1:8" x14ac:dyDescent="0.35">
      <c r="A19" t="s">
        <v>55</v>
      </c>
      <c r="B19" t="s">
        <v>56</v>
      </c>
      <c r="C19" t="s">
        <v>15</v>
      </c>
      <c r="D19" t="s">
        <v>57</v>
      </c>
      <c r="E19" t="s">
        <v>16</v>
      </c>
      <c r="F19" t="s">
        <v>12</v>
      </c>
      <c r="G19">
        <v>1</v>
      </c>
      <c r="H19">
        <v>170000</v>
      </c>
    </row>
    <row r="20" spans="1:8" x14ac:dyDescent="0.35">
      <c r="A20" t="s">
        <v>58</v>
      </c>
      <c r="B20" t="s">
        <v>59</v>
      </c>
      <c r="C20" t="s">
        <v>20</v>
      </c>
      <c r="D20" t="s">
        <v>60</v>
      </c>
      <c r="E20" t="s">
        <v>21</v>
      </c>
      <c r="F20" t="s">
        <v>22</v>
      </c>
      <c r="G20">
        <v>1</v>
      </c>
      <c r="H20">
        <v>250000</v>
      </c>
    </row>
    <row r="21" spans="1:8" x14ac:dyDescent="0.35">
      <c r="A21" t="s">
        <v>61</v>
      </c>
      <c r="B21" t="s">
        <v>62</v>
      </c>
      <c r="C21" t="s">
        <v>36</v>
      </c>
      <c r="D21" t="s">
        <v>63</v>
      </c>
      <c r="E21" t="s">
        <v>37</v>
      </c>
      <c r="F21" t="s">
        <v>29</v>
      </c>
      <c r="G21">
        <v>2</v>
      </c>
      <c r="H21">
        <v>130000</v>
      </c>
    </row>
    <row r="22" spans="1:8" x14ac:dyDescent="0.35">
      <c r="A22" t="s">
        <v>64</v>
      </c>
      <c r="B22" t="s">
        <v>65</v>
      </c>
      <c r="C22" t="s">
        <v>10</v>
      </c>
      <c r="D22" t="s">
        <v>66</v>
      </c>
      <c r="E22" t="s">
        <v>11</v>
      </c>
      <c r="F22" t="s">
        <v>12</v>
      </c>
      <c r="G22">
        <v>1</v>
      </c>
      <c r="H22">
        <v>150000</v>
      </c>
    </row>
    <row r="23" spans="1:8" x14ac:dyDescent="0.35">
      <c r="A23" t="s">
        <v>67</v>
      </c>
      <c r="B23" t="s">
        <v>68</v>
      </c>
      <c r="C23" t="s">
        <v>27</v>
      </c>
      <c r="D23" t="s">
        <v>69</v>
      </c>
      <c r="E23" t="s">
        <v>28</v>
      </c>
      <c r="F23" t="s">
        <v>17</v>
      </c>
      <c r="G23">
        <v>3</v>
      </c>
      <c r="H23">
        <v>900000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81A1-CB60-41C7-8AB8-94BB91A94CE8}">
  <dimension ref="A1:K43"/>
  <sheetViews>
    <sheetView zoomScale="115" zoomScaleNormal="115" workbookViewId="0">
      <selection activeCell="A41" sqref="A41"/>
    </sheetView>
  </sheetViews>
  <sheetFormatPr defaultRowHeight="14.5" x14ac:dyDescent="0.35"/>
  <cols>
    <col min="1" max="1" width="21.1796875" bestFit="1" customWidth="1"/>
    <col min="2" max="2" width="8.08984375" bestFit="1" customWidth="1"/>
    <col min="4" max="4" width="12.36328125" bestFit="1" customWidth="1"/>
    <col min="5" max="6" width="13.08984375" bestFit="1" customWidth="1"/>
    <col min="7" max="7" width="15.90625" bestFit="1" customWidth="1"/>
    <col min="8" max="8" width="14.36328125" bestFit="1" customWidth="1"/>
    <col min="9" max="9" width="15.90625" bestFit="1" customWidth="1"/>
    <col min="10" max="10" width="13.7265625" bestFit="1" customWidth="1"/>
    <col min="11" max="11" width="10.6328125" bestFit="1" customWidth="1"/>
    <col min="12" max="12" width="10.7265625" bestFit="1" customWidth="1"/>
    <col min="13" max="13" width="14.36328125" bestFit="1" customWidth="1"/>
    <col min="14" max="16" width="11.81640625" bestFit="1" customWidth="1"/>
    <col min="17" max="17" width="17.90625" bestFit="1" customWidth="1"/>
    <col min="18" max="18" width="20.7265625" bestFit="1" customWidth="1"/>
    <col min="19" max="19" width="19.1796875" bestFit="1" customWidth="1"/>
  </cols>
  <sheetData>
    <row r="1" spans="1:1" x14ac:dyDescent="0.35">
      <c r="A1" t="s">
        <v>128</v>
      </c>
    </row>
    <row r="2" spans="1:1" x14ac:dyDescent="0.35">
      <c r="A2" s="13">
        <v>6970000</v>
      </c>
    </row>
    <row r="5" spans="1:1" x14ac:dyDescent="0.35">
      <c r="A5" t="s">
        <v>129</v>
      </c>
    </row>
    <row r="6" spans="1:1" x14ac:dyDescent="0.35">
      <c r="A6">
        <v>20</v>
      </c>
    </row>
    <row r="8" spans="1:1" x14ac:dyDescent="0.35">
      <c r="A8" t="s">
        <v>130</v>
      </c>
    </row>
    <row r="9" spans="1:1" x14ac:dyDescent="0.35">
      <c r="A9" s="13">
        <v>348500</v>
      </c>
    </row>
    <row r="12" spans="1:1" x14ac:dyDescent="0.35">
      <c r="A12" t="s">
        <v>131</v>
      </c>
    </row>
    <row r="13" spans="1:1" x14ac:dyDescent="0.35">
      <c r="A13" s="13">
        <v>4300000</v>
      </c>
    </row>
    <row r="15" spans="1:1" x14ac:dyDescent="0.35">
      <c r="A15" t="s">
        <v>132</v>
      </c>
    </row>
    <row r="16" spans="1:1" x14ac:dyDescent="0.35">
      <c r="A16" s="13">
        <v>6970000</v>
      </c>
    </row>
    <row r="17" spans="1:11" x14ac:dyDescent="0.35">
      <c r="J17" t="s">
        <v>171</v>
      </c>
      <c r="K17" s="13">
        <v>8000000</v>
      </c>
    </row>
    <row r="18" spans="1:11" x14ac:dyDescent="0.35">
      <c r="A18" s="10" t="s">
        <v>134</v>
      </c>
      <c r="B18" t="s">
        <v>136</v>
      </c>
      <c r="D18" s="10" t="s">
        <v>3</v>
      </c>
      <c r="E18" s="10" t="s">
        <v>5</v>
      </c>
      <c r="F18" t="s">
        <v>161</v>
      </c>
      <c r="G18" t="s">
        <v>136</v>
      </c>
      <c r="H18" t="s">
        <v>163</v>
      </c>
      <c r="J18" t="s">
        <v>170</v>
      </c>
      <c r="K18" s="13">
        <f>A2</f>
        <v>6970000</v>
      </c>
    </row>
    <row r="19" spans="1:11" x14ac:dyDescent="0.35">
      <c r="A19" s="26" t="s">
        <v>145</v>
      </c>
      <c r="B19">
        <v>150000</v>
      </c>
      <c r="D19" s="1" t="s">
        <v>145</v>
      </c>
      <c r="E19" t="s">
        <v>12</v>
      </c>
      <c r="F19">
        <v>1</v>
      </c>
      <c r="G19">
        <v>150000</v>
      </c>
      <c r="H19" s="15">
        <v>2.1520803443328552E-2</v>
      </c>
      <c r="J19" t="s">
        <v>169</v>
      </c>
      <c r="K19" s="13">
        <f>K17-K18</f>
        <v>1030000</v>
      </c>
    </row>
    <row r="20" spans="1:11" x14ac:dyDescent="0.35">
      <c r="A20" s="26" t="s">
        <v>154</v>
      </c>
      <c r="B20">
        <v>160000</v>
      </c>
      <c r="D20" s="1" t="s">
        <v>154</v>
      </c>
      <c r="E20" t="s">
        <v>12</v>
      </c>
      <c r="F20">
        <v>1</v>
      </c>
      <c r="G20">
        <v>160000</v>
      </c>
      <c r="H20" s="15">
        <v>2.2955523672883789E-2</v>
      </c>
    </row>
    <row r="21" spans="1:11" x14ac:dyDescent="0.35">
      <c r="A21" s="26" t="s">
        <v>155</v>
      </c>
      <c r="B21">
        <v>1200000</v>
      </c>
      <c r="D21" s="1" t="s">
        <v>155</v>
      </c>
      <c r="E21" t="s">
        <v>17</v>
      </c>
      <c r="F21">
        <v>4</v>
      </c>
      <c r="G21">
        <v>1200000</v>
      </c>
      <c r="H21" s="15">
        <v>0.17216642754662842</v>
      </c>
    </row>
    <row r="22" spans="1:11" x14ac:dyDescent="0.35">
      <c r="A22" s="26" t="s">
        <v>156</v>
      </c>
      <c r="B22">
        <v>300000</v>
      </c>
      <c r="D22" s="1" t="s">
        <v>156</v>
      </c>
      <c r="E22" t="s">
        <v>22</v>
      </c>
      <c r="F22">
        <v>1</v>
      </c>
      <c r="G22">
        <v>300000</v>
      </c>
      <c r="H22" s="15">
        <v>4.3041606886657105E-2</v>
      </c>
    </row>
    <row r="23" spans="1:11" x14ac:dyDescent="0.35">
      <c r="A23" s="26" t="s">
        <v>48</v>
      </c>
      <c r="B23">
        <v>100000</v>
      </c>
      <c r="D23" s="1" t="s">
        <v>48</v>
      </c>
      <c r="E23" t="s">
        <v>29</v>
      </c>
      <c r="F23">
        <v>2</v>
      </c>
      <c r="G23">
        <v>100000</v>
      </c>
      <c r="H23" s="15">
        <v>1.4347202295552367E-2</v>
      </c>
    </row>
    <row r="24" spans="1:11" x14ac:dyDescent="0.35">
      <c r="A24" s="26" t="s">
        <v>51</v>
      </c>
      <c r="B24">
        <v>150000</v>
      </c>
      <c r="D24" s="1" t="s">
        <v>51</v>
      </c>
      <c r="E24" t="s">
        <v>12</v>
      </c>
      <c r="F24">
        <v>1</v>
      </c>
      <c r="G24">
        <v>150000</v>
      </c>
      <c r="H24" s="15">
        <v>2.1520803443328552E-2</v>
      </c>
    </row>
    <row r="25" spans="1:11" x14ac:dyDescent="0.35">
      <c r="A25" s="26" t="s">
        <v>54</v>
      </c>
      <c r="B25">
        <v>700000</v>
      </c>
      <c r="D25" s="1" t="s">
        <v>54</v>
      </c>
      <c r="E25" t="s">
        <v>17</v>
      </c>
      <c r="F25">
        <v>2</v>
      </c>
      <c r="G25">
        <v>700000</v>
      </c>
      <c r="H25" s="15">
        <v>0.10043041606886657</v>
      </c>
    </row>
    <row r="26" spans="1:11" x14ac:dyDescent="0.35">
      <c r="A26" s="26" t="s">
        <v>57</v>
      </c>
      <c r="B26">
        <v>170000</v>
      </c>
      <c r="D26" s="1" t="s">
        <v>57</v>
      </c>
      <c r="E26" t="s">
        <v>12</v>
      </c>
      <c r="F26">
        <v>1</v>
      </c>
      <c r="G26">
        <v>170000</v>
      </c>
      <c r="H26" s="15">
        <v>2.4390243902439025E-2</v>
      </c>
    </row>
    <row r="27" spans="1:11" x14ac:dyDescent="0.35">
      <c r="A27" s="26" t="s">
        <v>60</v>
      </c>
      <c r="B27">
        <v>250000</v>
      </c>
      <c r="D27" s="1" t="s">
        <v>60</v>
      </c>
      <c r="E27" t="s">
        <v>22</v>
      </c>
      <c r="F27">
        <v>1</v>
      </c>
      <c r="G27">
        <v>250000</v>
      </c>
      <c r="H27" s="15">
        <v>3.5868005738880916E-2</v>
      </c>
    </row>
    <row r="28" spans="1:11" x14ac:dyDescent="0.35">
      <c r="A28" s="26" t="s">
        <v>63</v>
      </c>
      <c r="B28">
        <v>130000</v>
      </c>
      <c r="D28" s="1" t="s">
        <v>63</v>
      </c>
      <c r="E28" t="s">
        <v>29</v>
      </c>
      <c r="F28">
        <v>2</v>
      </c>
      <c r="G28">
        <v>130000</v>
      </c>
      <c r="H28" s="15">
        <v>1.8651362984218076E-2</v>
      </c>
    </row>
    <row r="29" spans="1:11" x14ac:dyDescent="0.35">
      <c r="A29" s="26" t="s">
        <v>66</v>
      </c>
      <c r="B29">
        <v>150000</v>
      </c>
      <c r="D29" s="1" t="s">
        <v>66</v>
      </c>
      <c r="E29" t="s">
        <v>12</v>
      </c>
      <c r="F29">
        <v>1</v>
      </c>
      <c r="G29">
        <v>150000</v>
      </c>
      <c r="H29" s="15">
        <v>2.1520803443328552E-2</v>
      </c>
    </row>
    <row r="30" spans="1:11" x14ac:dyDescent="0.35">
      <c r="A30" s="26" t="s">
        <v>146</v>
      </c>
      <c r="B30">
        <v>900000</v>
      </c>
      <c r="D30" s="1" t="s">
        <v>146</v>
      </c>
      <c r="E30" t="s">
        <v>17</v>
      </c>
      <c r="F30">
        <v>3</v>
      </c>
      <c r="G30">
        <v>900000</v>
      </c>
      <c r="H30" s="15">
        <v>0.1291248206599713</v>
      </c>
    </row>
    <row r="31" spans="1:11" x14ac:dyDescent="0.35">
      <c r="A31" s="26" t="s">
        <v>69</v>
      </c>
      <c r="B31">
        <v>900000</v>
      </c>
      <c r="D31" s="1" t="s">
        <v>69</v>
      </c>
      <c r="E31" t="s">
        <v>17</v>
      </c>
      <c r="F31">
        <v>3</v>
      </c>
      <c r="G31">
        <v>900000</v>
      </c>
      <c r="H31" s="15">
        <v>0.1291248206599713</v>
      </c>
    </row>
    <row r="32" spans="1:11" x14ac:dyDescent="0.35">
      <c r="A32" s="26" t="s">
        <v>147</v>
      </c>
      <c r="B32">
        <v>250000</v>
      </c>
      <c r="D32" s="1" t="s">
        <v>147</v>
      </c>
      <c r="E32" t="s">
        <v>22</v>
      </c>
      <c r="F32">
        <v>1</v>
      </c>
      <c r="G32">
        <v>250000</v>
      </c>
      <c r="H32" s="15">
        <v>3.5868005738880916E-2</v>
      </c>
    </row>
    <row r="33" spans="1:8" x14ac:dyDescent="0.35">
      <c r="A33" s="26" t="s">
        <v>148</v>
      </c>
      <c r="B33">
        <v>150000</v>
      </c>
      <c r="D33" s="1" t="s">
        <v>148</v>
      </c>
      <c r="E33" t="s">
        <v>12</v>
      </c>
      <c r="F33">
        <v>1</v>
      </c>
      <c r="G33">
        <v>150000</v>
      </c>
      <c r="H33" s="15">
        <v>2.1520803443328552E-2</v>
      </c>
    </row>
    <row r="34" spans="1:8" x14ac:dyDescent="0.35">
      <c r="A34" s="26" t="s">
        <v>149</v>
      </c>
      <c r="B34">
        <v>120000</v>
      </c>
      <c r="D34" s="1" t="s">
        <v>149</v>
      </c>
      <c r="E34" t="s">
        <v>29</v>
      </c>
      <c r="F34">
        <v>2</v>
      </c>
      <c r="G34">
        <v>120000</v>
      </c>
      <c r="H34" s="15">
        <v>1.721664275466284E-2</v>
      </c>
    </row>
    <row r="35" spans="1:8" x14ac:dyDescent="0.35">
      <c r="A35" s="26" t="s">
        <v>150</v>
      </c>
      <c r="B35">
        <v>600000</v>
      </c>
      <c r="D35" s="1" t="s">
        <v>150</v>
      </c>
      <c r="E35" t="s">
        <v>17</v>
      </c>
      <c r="F35">
        <v>2</v>
      </c>
      <c r="G35">
        <v>600000</v>
      </c>
      <c r="H35" s="15">
        <v>8.608321377331421E-2</v>
      </c>
    </row>
    <row r="36" spans="1:8" x14ac:dyDescent="0.35">
      <c r="A36" s="26" t="s">
        <v>151</v>
      </c>
      <c r="B36">
        <v>200000</v>
      </c>
      <c r="D36" s="1" t="s">
        <v>151</v>
      </c>
      <c r="E36" t="s">
        <v>22</v>
      </c>
      <c r="F36">
        <v>1</v>
      </c>
      <c r="G36">
        <v>200000</v>
      </c>
      <c r="H36" s="15">
        <v>2.8694404591104734E-2</v>
      </c>
    </row>
    <row r="37" spans="1:8" x14ac:dyDescent="0.35">
      <c r="A37" s="26" t="s">
        <v>152</v>
      </c>
      <c r="B37">
        <v>180000</v>
      </c>
      <c r="D37" s="1" t="s">
        <v>152</v>
      </c>
      <c r="E37" t="s">
        <v>12</v>
      </c>
      <c r="F37">
        <v>1</v>
      </c>
      <c r="G37">
        <v>180000</v>
      </c>
      <c r="H37" s="15">
        <v>2.5824964131994262E-2</v>
      </c>
    </row>
    <row r="38" spans="1:8" x14ac:dyDescent="0.35">
      <c r="A38" s="26" t="s">
        <v>153</v>
      </c>
      <c r="B38">
        <v>210000</v>
      </c>
      <c r="D38" s="1" t="s">
        <v>153</v>
      </c>
      <c r="E38" t="s">
        <v>29</v>
      </c>
      <c r="F38">
        <v>3</v>
      </c>
      <c r="G38">
        <v>210000</v>
      </c>
      <c r="H38" s="15">
        <v>3.0129124820659971E-2</v>
      </c>
    </row>
    <row r="39" spans="1:8" x14ac:dyDescent="0.35">
      <c r="A39" s="11" t="s">
        <v>135</v>
      </c>
      <c r="B39">
        <v>6970000</v>
      </c>
      <c r="D39" t="s">
        <v>135</v>
      </c>
      <c r="F39">
        <v>34</v>
      </c>
      <c r="G39">
        <v>6970000</v>
      </c>
      <c r="H39">
        <v>1</v>
      </c>
    </row>
    <row r="41" spans="1:8" x14ac:dyDescent="0.35">
      <c r="A41" s="10" t="s">
        <v>134</v>
      </c>
      <c r="B41" t="s">
        <v>162</v>
      </c>
      <c r="D41" s="10" t="s">
        <v>134</v>
      </c>
      <c r="E41" t="s">
        <v>161</v>
      </c>
    </row>
    <row r="42" spans="1:8" x14ac:dyDescent="0.35">
      <c r="A42" s="11" t="s">
        <v>105</v>
      </c>
      <c r="B42">
        <v>2870000</v>
      </c>
      <c r="D42" s="11" t="s">
        <v>17</v>
      </c>
      <c r="E42">
        <v>14</v>
      </c>
    </row>
    <row r="43" spans="1:8" x14ac:dyDescent="0.35">
      <c r="A43" s="11" t="s">
        <v>135</v>
      </c>
      <c r="B43">
        <v>2870000</v>
      </c>
      <c r="D43" s="11" t="s">
        <v>135</v>
      </c>
      <c r="E43">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A81F-A792-440C-98FE-049BE476329C}">
  <sheetPr>
    <pageSetUpPr autoPageBreaks="0"/>
  </sheetPr>
  <dimension ref="B10:T39"/>
  <sheetViews>
    <sheetView showGridLines="0" tabSelected="1" zoomScale="70" zoomScaleNormal="70" workbookViewId="0">
      <selection activeCell="W16" sqref="W16"/>
    </sheetView>
  </sheetViews>
  <sheetFormatPr defaultRowHeight="14.5" x14ac:dyDescent="0.35"/>
  <cols>
    <col min="1" max="1" width="8.7265625" customWidth="1"/>
    <col min="2" max="2" width="10.7265625" bestFit="1" customWidth="1"/>
    <col min="3" max="3" width="11.08984375" bestFit="1" customWidth="1"/>
    <col min="4" max="4" width="12.1796875" bestFit="1" customWidth="1"/>
    <col min="6" max="6" width="9.08984375" bestFit="1" customWidth="1"/>
    <col min="7" max="7" width="9.453125" bestFit="1" customWidth="1"/>
    <col min="18" max="18" width="10.6328125" customWidth="1"/>
    <col min="19" max="19" width="10.1796875" customWidth="1"/>
    <col min="20" max="20" width="12.54296875" customWidth="1"/>
  </cols>
  <sheetData>
    <row r="10" spans="2:20" x14ac:dyDescent="0.35">
      <c r="B10" s="45" t="s">
        <v>158</v>
      </c>
      <c r="C10" s="34"/>
      <c r="D10" s="34"/>
      <c r="F10" s="45" t="s">
        <v>159</v>
      </c>
      <c r="G10" s="34"/>
      <c r="H10" s="34"/>
      <c r="J10" s="45" t="s">
        <v>160</v>
      </c>
      <c r="K10" s="34"/>
      <c r="L10" s="34"/>
      <c r="N10" s="46" t="s">
        <v>174</v>
      </c>
      <c r="O10" s="34"/>
      <c r="P10" s="34"/>
      <c r="R10" s="45" t="s">
        <v>172</v>
      </c>
      <c r="S10" s="34"/>
      <c r="T10" s="34"/>
    </row>
    <row r="11" spans="2:20" x14ac:dyDescent="0.35">
      <c r="B11" s="2"/>
      <c r="C11" s="3"/>
      <c r="D11" s="4"/>
      <c r="F11" s="2"/>
      <c r="G11" s="3"/>
      <c r="H11" s="4"/>
      <c r="J11" s="2"/>
      <c r="K11" s="3"/>
      <c r="L11" s="4"/>
      <c r="N11" s="27"/>
      <c r="O11" s="28"/>
      <c r="P11" s="29"/>
      <c r="R11" s="2"/>
      <c r="S11" s="3"/>
      <c r="T11" s="4"/>
    </row>
    <row r="12" spans="2:20" x14ac:dyDescent="0.35">
      <c r="B12" s="5"/>
      <c r="D12" s="6"/>
      <c r="F12" s="5"/>
      <c r="H12" s="6"/>
      <c r="J12" s="5"/>
      <c r="L12" s="6"/>
      <c r="N12" s="30"/>
      <c r="O12" s="31"/>
      <c r="P12" s="32"/>
      <c r="R12" s="5"/>
      <c r="T12" s="6"/>
    </row>
    <row r="13" spans="2:20" x14ac:dyDescent="0.35">
      <c r="B13" s="7"/>
      <c r="C13" s="8"/>
      <c r="D13" s="9"/>
      <c r="F13" s="7"/>
      <c r="G13" s="8"/>
      <c r="H13" s="9"/>
      <c r="J13" s="7"/>
      <c r="K13" s="8"/>
      <c r="L13" s="9"/>
      <c r="N13" s="33"/>
      <c r="O13" s="34"/>
      <c r="P13" s="35"/>
      <c r="R13" s="7"/>
      <c r="S13" s="8"/>
      <c r="T13" s="9"/>
    </row>
    <row r="17" spans="2:20" x14ac:dyDescent="0.35">
      <c r="R17" s="47" t="s">
        <v>173</v>
      </c>
      <c r="S17" s="31"/>
      <c r="T17" s="31"/>
    </row>
    <row r="19" spans="2:20" s="21" customFormat="1" ht="27" customHeight="1" x14ac:dyDescent="0.35">
      <c r="B19" s="18" t="s">
        <v>164</v>
      </c>
      <c r="C19" s="19" t="s">
        <v>167</v>
      </c>
      <c r="D19" s="20" t="s">
        <v>6</v>
      </c>
      <c r="F19" s="18" t="s">
        <v>165</v>
      </c>
      <c r="G19" s="19" t="s">
        <v>166</v>
      </c>
      <c r="H19" s="20" t="s">
        <v>168</v>
      </c>
      <c r="J19" s="36"/>
      <c r="K19" s="37"/>
      <c r="L19" s="37"/>
      <c r="M19" s="37"/>
      <c r="N19" s="37"/>
      <c r="O19" s="37"/>
      <c r="P19" s="38"/>
      <c r="R19" s="18"/>
      <c r="S19" s="19"/>
      <c r="T19" s="20"/>
    </row>
    <row r="20" spans="2:20" x14ac:dyDescent="0.35">
      <c r="B20" s="5" t="str" cm="1">
        <f t="array" ref="B20:D39">PivotData!D19:F38</f>
        <v>1/1/2024</v>
      </c>
      <c r="C20" t="str">
        <v>Rawat Jalan</v>
      </c>
      <c r="D20" s="16">
        <v>1</v>
      </c>
      <c r="F20" s="5" cm="1">
        <f t="array" ref="F20:G39">PivotData!G19:H38</f>
        <v>150000</v>
      </c>
      <c r="G20" s="22">
        <v>2.1520803443328552E-2</v>
      </c>
      <c r="H20" s="24">
        <v>2.1520803443328552E-2</v>
      </c>
      <c r="J20" s="39"/>
      <c r="K20" s="40"/>
      <c r="L20" s="40"/>
      <c r="M20" s="40"/>
      <c r="N20" s="40"/>
      <c r="O20" s="40"/>
      <c r="P20" s="41"/>
      <c r="R20" s="5"/>
      <c r="T20" s="6"/>
    </row>
    <row r="21" spans="2:20" x14ac:dyDescent="0.35">
      <c r="B21" s="5" t="str">
        <v>10/1/2024</v>
      </c>
      <c r="C21" t="str">
        <v>Rawat Jalan</v>
      </c>
      <c r="D21" s="16">
        <v>1</v>
      </c>
      <c r="F21" s="5">
        <v>160000</v>
      </c>
      <c r="G21" s="22">
        <v>2.2955523672883789E-2</v>
      </c>
      <c r="H21" s="24">
        <v>2.2955523672883789E-2</v>
      </c>
      <c r="J21" s="39"/>
      <c r="K21" s="40"/>
      <c r="L21" s="40"/>
      <c r="M21" s="40"/>
      <c r="N21" s="40"/>
      <c r="O21" s="40"/>
      <c r="P21" s="41"/>
      <c r="R21" s="5"/>
      <c r="T21" s="6"/>
    </row>
    <row r="22" spans="2:20" x14ac:dyDescent="0.35">
      <c r="B22" s="5" t="str">
        <v>11/1/2024</v>
      </c>
      <c r="C22" t="str">
        <v>Rawat Inap</v>
      </c>
      <c r="D22" s="16">
        <v>4</v>
      </c>
      <c r="F22" s="5">
        <v>1200000</v>
      </c>
      <c r="G22" s="22">
        <v>0.17216642754662842</v>
      </c>
      <c r="H22" s="24">
        <v>0.17216642754662842</v>
      </c>
      <c r="J22" s="39"/>
      <c r="K22" s="40"/>
      <c r="L22" s="40"/>
      <c r="M22" s="40"/>
      <c r="N22" s="40"/>
      <c r="O22" s="40"/>
      <c r="P22" s="41"/>
      <c r="R22" s="5"/>
      <c r="T22" s="6"/>
    </row>
    <row r="23" spans="2:20" x14ac:dyDescent="0.35">
      <c r="B23" s="5" t="str">
        <v>12/1/2024</v>
      </c>
      <c r="C23" t="str">
        <v>Lab</v>
      </c>
      <c r="D23" s="16">
        <v>1</v>
      </c>
      <c r="F23" s="5">
        <v>300000</v>
      </c>
      <c r="G23" s="22">
        <v>4.3041606886657105E-2</v>
      </c>
      <c r="H23" s="24">
        <v>4.3041606886657105E-2</v>
      </c>
      <c r="J23" s="39"/>
      <c r="K23" s="40"/>
      <c r="L23" s="40"/>
      <c r="M23" s="40"/>
      <c r="N23" s="40"/>
      <c r="O23" s="40"/>
      <c r="P23" s="41"/>
      <c r="R23" s="5"/>
      <c r="T23" s="6"/>
    </row>
    <row r="24" spans="2:20" x14ac:dyDescent="0.35">
      <c r="B24" s="5" t="str">
        <v>13/01/2024</v>
      </c>
      <c r="C24" t="str">
        <v>Obat</v>
      </c>
      <c r="D24" s="16">
        <v>2</v>
      </c>
      <c r="F24" s="5">
        <v>100000</v>
      </c>
      <c r="G24" s="22">
        <v>1.4347202295552367E-2</v>
      </c>
      <c r="H24" s="24">
        <v>1.4347202295552367E-2</v>
      </c>
      <c r="J24" s="39"/>
      <c r="K24" s="40"/>
      <c r="L24" s="40"/>
      <c r="M24" s="40"/>
      <c r="N24" s="40"/>
      <c r="O24" s="40"/>
      <c r="P24" s="41"/>
      <c r="R24" s="7"/>
      <c r="S24" s="8"/>
      <c r="T24" s="9"/>
    </row>
    <row r="25" spans="2:20" x14ac:dyDescent="0.35">
      <c r="B25" s="5" t="str">
        <v>14/01/2024</v>
      </c>
      <c r="C25" t="str">
        <v>Rawat Jalan</v>
      </c>
      <c r="D25" s="16">
        <v>1</v>
      </c>
      <c r="F25" s="5">
        <v>150000</v>
      </c>
      <c r="G25" s="22">
        <v>2.1520803443328552E-2</v>
      </c>
      <c r="H25" s="24">
        <v>2.1520803443328552E-2</v>
      </c>
      <c r="J25" s="39"/>
      <c r="K25" s="40"/>
      <c r="L25" s="40"/>
      <c r="M25" s="40"/>
      <c r="N25" s="40"/>
      <c r="O25" s="40"/>
      <c r="P25" s="41"/>
    </row>
    <row r="26" spans="2:20" x14ac:dyDescent="0.35">
      <c r="B26" s="5" t="str">
        <v>15/01/2024</v>
      </c>
      <c r="C26" t="str">
        <v>Rawat Inap</v>
      </c>
      <c r="D26" s="16">
        <v>2</v>
      </c>
      <c r="F26" s="5">
        <v>700000</v>
      </c>
      <c r="G26" s="22">
        <v>0.10043041606886657</v>
      </c>
      <c r="H26" s="24">
        <v>0.10043041606886657</v>
      </c>
      <c r="J26" s="39"/>
      <c r="K26" s="40"/>
      <c r="L26" s="40"/>
      <c r="M26" s="40"/>
      <c r="N26" s="40"/>
      <c r="O26" s="40"/>
      <c r="P26" s="41"/>
    </row>
    <row r="27" spans="2:20" x14ac:dyDescent="0.35">
      <c r="B27" s="5" t="str">
        <v>16/01/2024</v>
      </c>
      <c r="C27" t="str">
        <v>Rawat Jalan</v>
      </c>
      <c r="D27" s="16">
        <v>1</v>
      </c>
      <c r="F27" s="5">
        <v>170000</v>
      </c>
      <c r="G27" s="22">
        <v>2.4390243902439025E-2</v>
      </c>
      <c r="H27" s="24">
        <v>2.4390243902439025E-2</v>
      </c>
      <c r="J27" s="39"/>
      <c r="K27" s="40"/>
      <c r="L27" s="40"/>
      <c r="M27" s="40"/>
      <c r="N27" s="40"/>
      <c r="O27" s="40"/>
      <c r="P27" s="41"/>
    </row>
    <row r="28" spans="2:20" x14ac:dyDescent="0.35">
      <c r="B28" s="5" t="str">
        <v>17/01/2024</v>
      </c>
      <c r="C28" t="str">
        <v>Lab</v>
      </c>
      <c r="D28" s="16">
        <v>1</v>
      </c>
      <c r="F28" s="5">
        <v>250000</v>
      </c>
      <c r="G28" s="22">
        <v>3.5868005738880916E-2</v>
      </c>
      <c r="H28" s="24">
        <v>3.5868005738880916E-2</v>
      </c>
      <c r="J28" s="39"/>
      <c r="K28" s="40"/>
      <c r="L28" s="40"/>
      <c r="M28" s="40"/>
      <c r="N28" s="40"/>
      <c r="O28" s="40"/>
      <c r="P28" s="41"/>
      <c r="R28" s="2"/>
      <c r="S28" s="3"/>
      <c r="T28" s="4"/>
    </row>
    <row r="29" spans="2:20" x14ac:dyDescent="0.35">
      <c r="B29" s="5" t="str">
        <v>18/01/2024</v>
      </c>
      <c r="C29" t="str">
        <v>Obat</v>
      </c>
      <c r="D29" s="16">
        <v>2</v>
      </c>
      <c r="F29" s="5">
        <v>130000</v>
      </c>
      <c r="G29" s="22">
        <v>1.8651362984218076E-2</v>
      </c>
      <c r="H29" s="24">
        <v>1.8651362984218076E-2</v>
      </c>
      <c r="J29" s="39"/>
      <c r="K29" s="40"/>
      <c r="L29" s="40"/>
      <c r="M29" s="40"/>
      <c r="N29" s="40"/>
      <c r="O29" s="40"/>
      <c r="P29" s="41"/>
      <c r="R29" s="5"/>
      <c r="T29" s="6"/>
    </row>
    <row r="30" spans="2:20" x14ac:dyDescent="0.35">
      <c r="B30" s="5" t="str">
        <v>19/01/2024</v>
      </c>
      <c r="C30" t="str">
        <v>Rawat Jalan</v>
      </c>
      <c r="D30" s="16">
        <v>1</v>
      </c>
      <c r="F30" s="5">
        <v>150000</v>
      </c>
      <c r="G30" s="22">
        <v>2.1520803443328552E-2</v>
      </c>
      <c r="H30" s="24">
        <v>2.1520803443328552E-2</v>
      </c>
      <c r="J30" s="39"/>
      <c r="K30" s="40"/>
      <c r="L30" s="40"/>
      <c r="M30" s="40"/>
      <c r="N30" s="40"/>
      <c r="O30" s="40"/>
      <c r="P30" s="41"/>
      <c r="R30" s="5"/>
      <c r="T30" s="6"/>
    </row>
    <row r="31" spans="2:20" x14ac:dyDescent="0.35">
      <c r="B31" s="5" t="str">
        <v>2/1/2024</v>
      </c>
      <c r="C31" t="str">
        <v>Rawat Inap</v>
      </c>
      <c r="D31" s="16">
        <v>3</v>
      </c>
      <c r="F31" s="5">
        <v>900000</v>
      </c>
      <c r="G31" s="22">
        <v>0.1291248206599713</v>
      </c>
      <c r="H31" s="24">
        <v>0.1291248206599713</v>
      </c>
      <c r="J31" s="39"/>
      <c r="K31" s="40"/>
      <c r="L31" s="40"/>
      <c r="M31" s="40"/>
      <c r="N31" s="40"/>
      <c r="O31" s="40"/>
      <c r="P31" s="41"/>
      <c r="R31" s="5"/>
      <c r="T31" s="6"/>
    </row>
    <row r="32" spans="2:20" x14ac:dyDescent="0.35">
      <c r="B32" s="5" t="str">
        <v>20/01/2024</v>
      </c>
      <c r="C32" t="str">
        <v>Rawat Inap</v>
      </c>
      <c r="D32" s="16">
        <v>3</v>
      </c>
      <c r="F32" s="5">
        <v>900000</v>
      </c>
      <c r="G32" s="22">
        <v>0.1291248206599713</v>
      </c>
      <c r="H32" s="24">
        <v>0.1291248206599713</v>
      </c>
      <c r="J32" s="39"/>
      <c r="K32" s="40"/>
      <c r="L32" s="40"/>
      <c r="M32" s="40"/>
      <c r="N32" s="40"/>
      <c r="O32" s="40"/>
      <c r="P32" s="41"/>
      <c r="R32" s="5"/>
      <c r="T32" s="6"/>
    </row>
    <row r="33" spans="2:20" x14ac:dyDescent="0.35">
      <c r="B33" s="5" t="str">
        <v>3/1/2024</v>
      </c>
      <c r="C33" t="str">
        <v>Lab</v>
      </c>
      <c r="D33" s="16">
        <v>1</v>
      </c>
      <c r="F33" s="5">
        <v>250000</v>
      </c>
      <c r="G33" s="22">
        <v>3.5868005738880916E-2</v>
      </c>
      <c r="H33" s="24">
        <v>3.5868005738880916E-2</v>
      </c>
      <c r="J33" s="39"/>
      <c r="K33" s="40"/>
      <c r="L33" s="40"/>
      <c r="M33" s="40"/>
      <c r="N33" s="40"/>
      <c r="O33" s="40"/>
      <c r="P33" s="41"/>
      <c r="R33" s="5"/>
      <c r="T33" s="6"/>
    </row>
    <row r="34" spans="2:20" x14ac:dyDescent="0.35">
      <c r="B34" s="5" t="str">
        <v>4/1/2024</v>
      </c>
      <c r="C34" t="str">
        <v>Rawat Jalan</v>
      </c>
      <c r="D34" s="16">
        <v>1</v>
      </c>
      <c r="F34" s="5">
        <v>150000</v>
      </c>
      <c r="G34" s="22">
        <v>2.1520803443328552E-2</v>
      </c>
      <c r="H34" s="24">
        <v>2.1520803443328552E-2</v>
      </c>
      <c r="J34" s="39"/>
      <c r="K34" s="40"/>
      <c r="L34" s="40"/>
      <c r="M34" s="40"/>
      <c r="N34" s="40"/>
      <c r="O34" s="40"/>
      <c r="P34" s="41"/>
      <c r="R34" s="5"/>
      <c r="T34" s="6"/>
    </row>
    <row r="35" spans="2:20" x14ac:dyDescent="0.35">
      <c r="B35" s="5" t="str">
        <v>5/1/2024</v>
      </c>
      <c r="C35" t="str">
        <v>Obat</v>
      </c>
      <c r="D35" s="16">
        <v>2</v>
      </c>
      <c r="F35" s="5">
        <v>120000</v>
      </c>
      <c r="G35" s="22">
        <v>1.721664275466284E-2</v>
      </c>
      <c r="H35" s="24">
        <v>1.721664275466284E-2</v>
      </c>
      <c r="J35" s="39"/>
      <c r="K35" s="40"/>
      <c r="L35" s="40"/>
      <c r="M35" s="40"/>
      <c r="N35" s="40"/>
      <c r="O35" s="40"/>
      <c r="P35" s="41"/>
      <c r="R35" s="5"/>
      <c r="T35" s="6"/>
    </row>
    <row r="36" spans="2:20" x14ac:dyDescent="0.35">
      <c r="B36" s="5" t="str">
        <v>6/1/2024</v>
      </c>
      <c r="C36" t="str">
        <v>Rawat Inap</v>
      </c>
      <c r="D36" s="16">
        <v>2</v>
      </c>
      <c r="F36" s="5">
        <v>600000</v>
      </c>
      <c r="G36" s="22">
        <v>8.608321377331421E-2</v>
      </c>
      <c r="H36" s="24">
        <v>8.608321377331421E-2</v>
      </c>
      <c r="J36" s="39"/>
      <c r="K36" s="40"/>
      <c r="L36" s="40"/>
      <c r="M36" s="40"/>
      <c r="N36" s="40"/>
      <c r="O36" s="40"/>
      <c r="P36" s="41"/>
      <c r="R36" s="5"/>
      <c r="T36" s="6"/>
    </row>
    <row r="37" spans="2:20" x14ac:dyDescent="0.35">
      <c r="B37" s="5" t="str">
        <v>7/1/2024</v>
      </c>
      <c r="C37" t="str">
        <v>Lab</v>
      </c>
      <c r="D37" s="16">
        <v>1</v>
      </c>
      <c r="F37" s="5">
        <v>200000</v>
      </c>
      <c r="G37" s="22">
        <v>2.8694404591104734E-2</v>
      </c>
      <c r="H37" s="24">
        <v>2.8694404591104734E-2</v>
      </c>
      <c r="J37" s="39"/>
      <c r="K37" s="40"/>
      <c r="L37" s="40"/>
      <c r="M37" s="40"/>
      <c r="N37" s="40"/>
      <c r="O37" s="40"/>
      <c r="P37" s="41"/>
      <c r="R37" s="5"/>
      <c r="T37" s="6"/>
    </row>
    <row r="38" spans="2:20" x14ac:dyDescent="0.35">
      <c r="B38" s="5" t="str">
        <v>8/1/2024</v>
      </c>
      <c r="C38" t="str">
        <v>Rawat Jalan</v>
      </c>
      <c r="D38" s="16">
        <v>1</v>
      </c>
      <c r="F38" s="5">
        <v>180000</v>
      </c>
      <c r="G38" s="22">
        <v>2.5824964131994262E-2</v>
      </c>
      <c r="H38" s="24">
        <v>2.5824964131994262E-2</v>
      </c>
      <c r="J38" s="39"/>
      <c r="K38" s="40"/>
      <c r="L38" s="40"/>
      <c r="M38" s="40"/>
      <c r="N38" s="40"/>
      <c r="O38" s="40"/>
      <c r="P38" s="41"/>
      <c r="R38" s="5"/>
      <c r="T38" s="6"/>
    </row>
    <row r="39" spans="2:20" x14ac:dyDescent="0.35">
      <c r="B39" s="7" t="str">
        <v>9/1/2024</v>
      </c>
      <c r="C39" s="8" t="str">
        <v>Obat</v>
      </c>
      <c r="D39" s="17">
        <v>3</v>
      </c>
      <c r="F39" s="7">
        <v>210000</v>
      </c>
      <c r="G39" s="23">
        <v>3.0129124820659971E-2</v>
      </c>
      <c r="H39" s="25">
        <v>3.0129124820659971E-2</v>
      </c>
      <c r="J39" s="42"/>
      <c r="K39" s="43"/>
      <c r="L39" s="43"/>
      <c r="M39" s="43"/>
      <c r="N39" s="43"/>
      <c r="O39" s="43"/>
      <c r="P39" s="44"/>
      <c r="R39" s="7"/>
      <c r="S39" s="8"/>
      <c r="T39" s="9"/>
    </row>
  </sheetData>
  <mergeCells count="8">
    <mergeCell ref="R10:T10"/>
    <mergeCell ref="R17:T17"/>
    <mergeCell ref="N11:P13"/>
    <mergeCell ref="J19:P39"/>
    <mergeCell ref="B10:D10"/>
    <mergeCell ref="F10:H10"/>
    <mergeCell ref="J10:L10"/>
    <mergeCell ref="N10:P10"/>
  </mergeCells>
  <conditionalFormatting sqref="H20:H39">
    <cfRule type="iconSet" priority="1">
      <iconSet showValue="0">
        <cfvo type="percent" val="0"/>
        <cfvo type="percent" val="5"/>
        <cfvo type="percent" val="10"/>
      </iconSet>
    </cfRule>
  </conditionalFormatting>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xr2:uid="{618B8904-4AD2-42A9-A0B3-34C488EC4F8A}">
          <x14:colorSeries rgb="FF376092"/>
          <x14:colorNegative rgb="FFD00000"/>
          <x14:colorAxis rgb="FF000000"/>
          <x14:colorMarkers rgb="FFD00000"/>
          <x14:colorFirst rgb="FFD00000"/>
          <x14:colorLast rgb="FFD00000"/>
          <x14:colorHigh rgb="FFD00000"/>
          <x14:colorLow rgb="FFD00000"/>
          <x14:sparklines>
            <x14:sparkline>
              <xm:f>PivotData!B19:B38</xm:f>
              <xm:sqref>N11</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725FF869-D5DD-45CD-9E09-1CC50CF673A9}">
  <ds:schemaRefs/>
</ds:datastoreItem>
</file>

<file path=customXml/itemProps2.xml><?xml version="1.0" encoding="utf-8"?>
<ds:datastoreItem xmlns:ds="http://schemas.openxmlformats.org/officeDocument/2006/customXml" ds:itemID="{B459AFBD-0A8E-493E-8A3D-1F0364DE9C6D}">
  <ds:schemaRefs/>
</ds:datastoreItem>
</file>

<file path=customXml/itemProps3.xml><?xml version="1.0" encoding="utf-8"?>
<ds:datastoreItem xmlns:ds="http://schemas.openxmlformats.org/officeDocument/2006/customXml" ds:itemID="{1EA17FC0-C996-447C-AF78-6D795BFD8FE0}">
  <ds:schemaRefs/>
</ds:datastoreItem>
</file>

<file path=customXml/itemProps4.xml><?xml version="1.0" encoding="utf-8"?>
<ds:datastoreItem xmlns:ds="http://schemas.openxmlformats.org/officeDocument/2006/customXml" ds:itemID="{1219458E-3032-4D49-824A-CE7D00693CA6}">
  <ds:schemaRefs/>
</ds:datastoreItem>
</file>

<file path=customXml/itemProps5.xml><?xml version="1.0" encoding="utf-8"?>
<ds:datastoreItem xmlns:ds="http://schemas.openxmlformats.org/officeDocument/2006/customXml" ds:itemID="{6AFDE7B6-B1CF-4253-8125-30D64C1C52E0}">
  <ds:schemaRefs/>
</ds:datastoreItem>
</file>

<file path=customXml/itemProps6.xml><?xml version="1.0" encoding="utf-8"?>
<ds:datastoreItem xmlns:ds="http://schemas.openxmlformats.org/officeDocument/2006/customXml" ds:itemID="{063CB26D-5E72-49AD-8664-82711C6B2516}">
  <ds:schemaRefs/>
</ds:datastoreItem>
</file>

<file path=customXml/itemProps7.xml><?xml version="1.0" encoding="utf-8"?>
<ds:datastoreItem xmlns:ds="http://schemas.openxmlformats.org/officeDocument/2006/customXml" ds:itemID="{97B5B768-4291-4EBB-BBB4-3F1520BA5276}">
  <ds:schemaRefs/>
</ds:datastoreItem>
</file>

<file path=customXml/itemProps8.xml><?xml version="1.0" encoding="utf-8"?>
<ds:datastoreItem xmlns:ds="http://schemas.openxmlformats.org/officeDocument/2006/customXml" ds:itemID="{927A577A-48C7-4A32-B48E-F95DC67ACA8F}">
  <ds:schemaRefs/>
</ds:datastoreItem>
</file>

<file path=customXml/itemProps9.xml><?xml version="1.0" encoding="utf-8"?>
<ds:datastoreItem xmlns:ds="http://schemas.openxmlformats.org/officeDocument/2006/customXml" ds:itemID="{5809EB88-D078-48AE-AEAC-C60F7CF1774B}">
  <ds:schemaRefs/>
</ds:datastoreItem>
</file>

<file path=customXml/itemProps10.xml><?xml version="1.0" encoding="utf-8"?>
<ds:datastoreItem xmlns:ds="http://schemas.openxmlformats.org/officeDocument/2006/customXml" ds:itemID="{BE5DB4AF-B496-4F5D-A5CC-58B4E9C044CB}">
  <ds:schemaRefs/>
</ds:datastoreItem>
</file>

<file path=customXml/itemProps11.xml><?xml version="1.0" encoding="utf-8"?>
<ds:datastoreItem xmlns:ds="http://schemas.openxmlformats.org/officeDocument/2006/customXml" ds:itemID="{8ABB1ED2-9245-4EC8-81FE-94506318044A}">
  <ds:schemaRefs/>
</ds:datastoreItem>
</file>

<file path=customXml/itemProps12.xml><?xml version="1.0" encoding="utf-8"?>
<ds:datastoreItem xmlns:ds="http://schemas.openxmlformats.org/officeDocument/2006/customXml" ds:itemID="{C1457BA1-80A3-4EC7-A807-5414A00914A3}">
  <ds:schemaRefs/>
</ds:datastoreItem>
</file>

<file path=customXml/itemProps13.xml><?xml version="1.0" encoding="utf-8"?>
<ds:datastoreItem xmlns:ds="http://schemas.openxmlformats.org/officeDocument/2006/customXml" ds:itemID="{C159AAEF-2A5C-41A4-AC51-0610C9955DDA}">
  <ds:schemaRefs/>
</ds:datastoreItem>
</file>

<file path=customXml/itemProps14.xml><?xml version="1.0" encoding="utf-8"?>
<ds:datastoreItem xmlns:ds="http://schemas.openxmlformats.org/officeDocument/2006/customXml" ds:itemID="{8B932052-8BF8-4CBC-ACDC-12B06E512095}">
  <ds:schemaRefs/>
</ds:datastoreItem>
</file>

<file path=customXml/itemProps15.xml><?xml version="1.0" encoding="utf-8"?>
<ds:datastoreItem xmlns:ds="http://schemas.openxmlformats.org/officeDocument/2006/customXml" ds:itemID="{F0B0B5F1-B118-4DA0-BADE-2AC421DD93BC}">
  <ds:schemaRefs/>
</ds:datastoreItem>
</file>

<file path=customXml/itemProps16.xml><?xml version="1.0" encoding="utf-8"?>
<ds:datastoreItem xmlns:ds="http://schemas.openxmlformats.org/officeDocument/2006/customXml" ds:itemID="{0194D083-5FDD-4A8C-9EDA-CF431E26991C}">
  <ds:schemaRefs/>
</ds:datastoreItem>
</file>

<file path=customXml/itemProps17.xml><?xml version="1.0" encoding="utf-8"?>
<ds:datastoreItem xmlns:ds="http://schemas.openxmlformats.org/officeDocument/2006/customXml" ds:itemID="{C075D383-74CE-4FC2-9B1B-9D2DDB0CD9AF}">
  <ds:schemaRefs/>
</ds:datastoreItem>
</file>

<file path=customXml/itemProps18.xml><?xml version="1.0" encoding="utf-8"?>
<ds:datastoreItem xmlns:ds="http://schemas.openxmlformats.org/officeDocument/2006/customXml" ds:itemID="{3819D8F8-F9AB-4615-B8A1-784969A91897}">
  <ds:schemaRefs/>
</ds:datastoreItem>
</file>

<file path=customXml/itemProps19.xml><?xml version="1.0" encoding="utf-8"?>
<ds:datastoreItem xmlns:ds="http://schemas.openxmlformats.org/officeDocument/2006/customXml" ds:itemID="{6EC32588-E365-467D-801E-8EA2F357322F}">
  <ds:schemaRefs/>
</ds:datastoreItem>
</file>

<file path=customXml/itemProps20.xml><?xml version="1.0" encoding="utf-8"?>
<ds:datastoreItem xmlns:ds="http://schemas.openxmlformats.org/officeDocument/2006/customXml" ds:itemID="{8A6D9704-0816-4BBD-BE7F-561B7B0BEFF4}">
  <ds:schemaRefs/>
</ds:datastoreItem>
</file>

<file path=customXml/itemProps21.xml><?xml version="1.0" encoding="utf-8"?>
<ds:datastoreItem xmlns:ds="http://schemas.openxmlformats.org/officeDocument/2006/customXml" ds:itemID="{72BCAE5B-E11E-4088-982E-A908DC209880}">
  <ds:schemaRefs/>
</ds:datastoreItem>
</file>

<file path=customXml/itemProps22.xml><?xml version="1.0" encoding="utf-8"?>
<ds:datastoreItem xmlns:ds="http://schemas.openxmlformats.org/officeDocument/2006/customXml" ds:itemID="{F905512E-877F-4ACF-97C0-206EF7963693}">
  <ds:schemaRefs/>
</ds:datastoreItem>
</file>

<file path=customXml/itemProps23.xml><?xml version="1.0" encoding="utf-8"?>
<ds:datastoreItem xmlns:ds="http://schemas.openxmlformats.org/officeDocument/2006/customXml" ds:itemID="{693D514D-C729-474E-AB5F-1FB67A01105D}">
  <ds:schemaRefs/>
</ds:datastoreItem>
</file>

<file path=customXml/itemProps24.xml><?xml version="1.0" encoding="utf-8"?>
<ds:datastoreItem xmlns:ds="http://schemas.openxmlformats.org/officeDocument/2006/customXml" ds:itemID="{AABED057-5876-4314-A7D4-C53108CDF07B}">
  <ds:schemaRefs/>
</ds:datastoreItem>
</file>

<file path=customXml/itemProps25.xml><?xml version="1.0" encoding="utf-8"?>
<ds:datastoreItem xmlns:ds="http://schemas.openxmlformats.org/officeDocument/2006/customXml" ds:itemID="{6EE1B9AD-1500-42DC-BFFD-1BC505C1414F}">
  <ds:schemaRefs/>
</ds:datastoreItem>
</file>

<file path=customXml/itemProps26.xml><?xml version="1.0" encoding="utf-8"?>
<ds:datastoreItem xmlns:ds="http://schemas.openxmlformats.org/officeDocument/2006/customXml" ds:itemID="{79C6493E-ACAA-4964-9304-03A247411E4A}">
  <ds:schemaRefs/>
</ds:datastoreItem>
</file>

<file path=customXml/itemProps27.xml><?xml version="1.0" encoding="utf-8"?>
<ds:datastoreItem xmlns:ds="http://schemas.openxmlformats.org/officeDocument/2006/customXml" ds:itemID="{FCC36F27-BE47-4C37-9281-CF160C74FB6C}">
  <ds:schemaRefs/>
</ds:datastoreItem>
</file>

<file path=customXml/itemProps28.xml><?xml version="1.0" encoding="utf-8"?>
<ds:datastoreItem xmlns:ds="http://schemas.openxmlformats.org/officeDocument/2006/customXml" ds:itemID="{0B9AE250-8923-467B-9D30-94F2582ED9A0}">
  <ds:schemaRefs/>
</ds:datastoreItem>
</file>

<file path=customXml/itemProps29.xml><?xml version="1.0" encoding="utf-8"?>
<ds:datastoreItem xmlns:ds="http://schemas.openxmlformats.org/officeDocument/2006/customXml" ds:itemID="{7AE338BC-E8ED-42D6-A6E8-AEC20B7F2583}">
  <ds:schemaRefs/>
</ds:datastoreItem>
</file>

<file path=customXml/itemProps30.xml><?xml version="1.0" encoding="utf-8"?>
<ds:datastoreItem xmlns:ds="http://schemas.openxmlformats.org/officeDocument/2006/customXml" ds:itemID="{6169C96E-5023-4BA0-A79D-8EEF9714E510}">
  <ds:schemaRefs/>
</ds:datastoreItem>
</file>

<file path=customXml/itemProps31.xml><?xml version="1.0" encoding="utf-8"?>
<ds:datastoreItem xmlns:ds="http://schemas.openxmlformats.org/officeDocument/2006/customXml" ds:itemID="{74A526C8-AF13-4926-A167-55924E959466}">
  <ds:schemaRefs/>
</ds:datastoreItem>
</file>

<file path=customXml/itemProps32.xml><?xml version="1.0" encoding="utf-8"?>
<ds:datastoreItem xmlns:ds="http://schemas.openxmlformats.org/officeDocument/2006/customXml" ds:itemID="{54445037-0E3E-4BA0-8C52-619447E4F6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Transaksi</vt:lpstr>
      <vt:lpstr>Pasien</vt:lpstr>
      <vt:lpstr>Kasir</vt:lpstr>
      <vt:lpstr>Dokter</vt:lpstr>
      <vt:lpstr>Sheet3</vt:lpstr>
      <vt:lpstr>Sheet4</vt:lpstr>
      <vt:lpstr>PivotData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marvel valentino</dc:creator>
  <cp:lastModifiedBy>Laverina Candrakirana</cp:lastModifiedBy>
  <cp:lastPrinted>2026-10-20T08:16:31Z</cp:lastPrinted>
  <dcterms:created xsi:type="dcterms:W3CDTF">2026-04-13T06:43:46Z</dcterms:created>
  <dcterms:modified xsi:type="dcterms:W3CDTF">2026-10-23T11:08:37Z</dcterms:modified>
</cp:coreProperties>
</file>